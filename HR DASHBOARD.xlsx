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ink/ink1.xml" ContentType="application/inkml+xml"/>
  <Override PartName="/xl/ink/ink2.xml" ContentType="application/inkml+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defaultThemeVersion="166925"/>
  <mc:AlternateContent xmlns:mc="http://schemas.openxmlformats.org/markup-compatibility/2006">
    <mc:Choice Requires="x15">
      <x15ac:absPath xmlns:x15ac="http://schemas.microsoft.com/office/spreadsheetml/2010/11/ac" url="https://d.docs.live.net/7e8df9ff6d9045ba/Desktop/EXCEL PROJECT SELF 1 AND 2/PROJECT 1/"/>
    </mc:Choice>
  </mc:AlternateContent>
  <xr:revisionPtr revIDLastSave="3" documentId="13_ncr:1_{B78E6D54-57C8-4C2A-B2D1-E6B28450D300}" xr6:coauthVersionLast="47" xr6:coauthVersionMax="47" xr10:uidLastSave="{049F786E-2810-4348-8646-C3AA9D8BCAEE}"/>
  <bookViews>
    <workbookView xWindow="-110" yWindow="-110" windowWidth="19420" windowHeight="10300" xr2:uid="{1A62A4AE-E864-4CDA-8F1B-1DCEDC36880A}"/>
  </bookViews>
  <sheets>
    <sheet name="Dashboard" sheetId="1" r:id="rId1"/>
    <sheet name="Data" sheetId="2" r:id="rId2"/>
    <sheet name="Pivot Tables" sheetId="3" r:id="rId3"/>
  </sheets>
  <definedNames>
    <definedName name="Slicer_Department">#N/A</definedName>
    <definedName name="Slicer_Gender">#N/A</definedName>
  </definedNames>
  <calcPr calcId="191029"/>
  <pivotCaches>
    <pivotCache cacheId="2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6" i="3" l="1"/>
  <c r="Z15" i="3"/>
  <c r="Z14" i="3"/>
  <c r="Z18" i="3"/>
  <c r="Z17" i="3"/>
  <c r="W15" i="3"/>
  <c r="W18" i="3"/>
  <c r="W17" i="3"/>
  <c r="W14" i="3"/>
  <c r="W16" i="3"/>
  <c r="T14" i="3"/>
  <c r="T18" i="3"/>
  <c r="T17" i="3"/>
  <c r="T15" i="3"/>
  <c r="T16" i="3"/>
  <c r="O14" i="3"/>
  <c r="O12" i="3"/>
  <c r="O13" i="3"/>
  <c r="J19" i="3"/>
  <c r="C14" i="3"/>
  <c r="J22" i="3"/>
  <c r="J18" i="3"/>
  <c r="C13" i="3"/>
  <c r="J17" i="3"/>
  <c r="J15" i="3"/>
  <c r="J23" i="3"/>
  <c r="J16" i="3"/>
  <c r="C12" i="3"/>
  <c r="F16" i="3"/>
  <c r="F15" i="3"/>
  <c r="G18" i="3"/>
  <c r="G16" i="3"/>
  <c r="F17" i="3"/>
  <c r="F14" i="3"/>
  <c r="G14" i="3"/>
  <c r="G17" i="3"/>
  <c r="G15" i="3"/>
  <c r="F18" i="3"/>
  <c r="Z19" i="3" l="1"/>
  <c r="W19" i="3"/>
  <c r="G19" i="3"/>
  <c r="P14" i="3"/>
  <c r="Q14" i="3" s="1"/>
  <c r="F19" i="3"/>
  <c r="P12" i="3"/>
  <c r="Q12" i="3" s="1"/>
  <c r="O15" i="3"/>
  <c r="C15" i="3"/>
  <c r="T19" i="3"/>
  <c r="K23" i="3"/>
  <c r="L23" i="3" s="1"/>
  <c r="J24" i="3"/>
  <c r="K22" i="3"/>
  <c r="L22" i="3" s="1"/>
  <c r="J20" i="3"/>
  <c r="P13" i="3"/>
  <c r="Q13" i="3" s="1"/>
</calcChain>
</file>

<file path=xl/sharedStrings.xml><?xml version="1.0" encoding="utf-8"?>
<sst xmlns="http://schemas.openxmlformats.org/spreadsheetml/2006/main" count="881" uniqueCount="230">
  <si>
    <t xml:space="preserve"> </t>
  </si>
  <si>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</si>
  <si>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</si>
  <si>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</si>
  <si>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</si>
  <si>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</si>
  <si>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</si>
  <si>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</si>
  <si>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</si>
  <si>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</si>
  <si>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</si>
  <si>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</si>
  <si>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</si>
  <si>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</si>
  <si>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</si>
  <si>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</si>
  <si>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</si>
  <si>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</si>
  <si>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</si>
  <si>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</si>
  <si>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</si>
  <si>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</si>
  <si>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</si>
  <si>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</si>
  <si>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</si>
  <si>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</si>
  <si>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</si>
  <si>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</si>
  <si>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</si>
  <si>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</si>
  <si>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</si>
  <si>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</si>
  <si>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</si>
  <si>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</si>
  <si>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</si>
  <si>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</si>
  <si>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</si>
  <si>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</si>
  <si>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</si>
  <si>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</si>
  <si>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</si>
  <si>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</si>
  <si>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</si>
  <si>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</si>
  <si>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</si>
  <si>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</si>
  <si>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</si>
  <si>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</si>
  <si>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</si>
  <si>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</si>
  <si>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</si>
  <si>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</si>
  <si>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</si>
  <si>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</si>
  <si>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</si>
  <si>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</si>
  <si>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</si>
  <si>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</si>
  <si>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</si>
  <si>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</si>
  <si>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</si>
  <si>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</si>
  <si>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</si>
  <si>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</si>
  <si>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</si>
  <si>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</si>
  <si>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</si>
  <si>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</si>
  <si>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</si>
  <si>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</si>
  <si>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</si>
  <si>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</si>
  <si>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</si>
  <si>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</si>
  <si>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</si>
  <si>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</si>
  <si>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</si>
  <si>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</si>
  <si>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</si>
  <si>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</si>
  <si>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</si>
  <si>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</si>
  <si>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</si>
  <si>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</si>
  <si>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</si>
  <si>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</si>
  <si>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</si>
  <si>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</si>
  <si>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</si>
  <si>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</si>
  <si>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</si>
  <si>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</si>
  <si>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</si>
  <si>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</si>
  <si>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</si>
  <si>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</si>
  <si>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</si>
  <si>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</si>
  <si>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</si>
  <si>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</si>
  <si>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</si>
  <si>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</si>
  <si>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</si>
  <si>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</si>
  <si>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</si>
  <si>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</si>
  <si>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</si>
  <si>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</si>
  <si>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</si>
  <si>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</si>
  <si>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</si>
  <si>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</si>
  <si>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</si>
  <si>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</si>
  <si>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</si>
  <si>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</si>
  <si>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</si>
  <si>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</si>
  <si>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</si>
  <si>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</si>
  <si>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</si>
  <si>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</si>
  <si>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</si>
  <si>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</si>
  <si>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</si>
  <si>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</si>
  <si>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</si>
  <si>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</si>
  <si>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</si>
  <si>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</si>
  <si>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</si>
  <si>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</si>
  <si>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</si>
  <si>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</si>
  <si>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</si>
  <si>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</si>
  <si>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</si>
  <si>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</si>
  <si>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</si>
  <si>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</si>
  <si>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</si>
  <si>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</si>
  <si>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</si>
  <si>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</si>
  <si>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</si>
  <si>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</si>
  <si>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</si>
  <si>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</si>
  <si>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</si>
  <si>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</si>
  <si>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</si>
  <si>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</si>
  <si>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</si>
  <si>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</si>
  <si>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</si>
  <si>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</si>
  <si>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</si>
  <si>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</si>
  <si>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</si>
  <si>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</si>
  <si>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</si>
  <si>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</si>
  <si>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</si>
  <si>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</si>
  <si>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</si>
  <si>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</si>
  <si>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</si>
  <si>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</si>
  <si>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</si>
  <si>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</si>
  <si>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</si>
  <si>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</si>
  <si>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</si>
  <si>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</si>
  <si>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</si>
  <si>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</si>
  <si>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</si>
  <si>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</si>
  <si>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</si>
  <si>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</si>
  <si>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</si>
  <si>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</si>
  <si>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</si>
  <si>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</si>
  <si>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</si>
  <si>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</si>
  <si>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</si>
  <si>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</si>
  <si>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</si>
  <si>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</si>
  <si>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</si>
  <si>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</si>
  <si>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</si>
  <si>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</si>
  <si>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</si>
  <si>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</si>
  <si>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</si>
  <si>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</si>
  <si>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</si>
  <si>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</si>
  <si>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</si>
  <si>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</si>
  <si>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</si>
  <si>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</si>
  <si>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</si>
  <si>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</si>
  <si>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</si>
  <si>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</si>
  <si>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</si>
  <si>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</si>
  <si>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</si>
  <si>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</si>
  <si>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</si>
  <si>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</si>
  <si>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</si>
  <si>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</si>
  <si>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</si>
  <si>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</si>
  <si>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employment status</t>
  </si>
  <si>
    <t>Total</t>
  </si>
  <si>
    <t>Sum of Salary</t>
  </si>
  <si>
    <t>Salaries to departments</t>
  </si>
  <si>
    <t>Column Labels</t>
  </si>
  <si>
    <t>Age range to gender</t>
  </si>
  <si>
    <t>Workplace</t>
  </si>
  <si>
    <t>Sum of Leave Taken</t>
  </si>
  <si>
    <t>Regions</t>
  </si>
  <si>
    <t>Average of Performance Rating</t>
  </si>
  <si>
    <t>Departments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</si>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</sst>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0.0"/>
  </numFmts>
  <fonts count="9">
    <font>
      <sz val="11"/>
      <color theme="1"/>
      <name val="Calibri"/>
      <family val="2"/>
      <scheme val="minor"/>
    </font>
    <font>
      <sz val="11"/>
      <color theme="1"/>
      <name val="Calibri P"/>
    </font>
    <font>
      <sz val="11"/>
      <color theme="1"/>
      <name val="Calibri"/>
      <family val="2"/>
      <scheme val="minor"/>
    </font>
    <font>
      <b/>
      <sz val="11"/>
      <color theme="1"/>
      <name val="Calibri"/>
      <family val="2"/>
      <scheme val="minor"/>
    </font>
    <font>
      <sz val="11"/>
      <color theme="0"/>
      <name val="Calibri"/>
      <family val="2"/>
      <scheme val="minor"/>
    </font>
    <font>
      <b/>
      <sz val="11"/>
      <color theme="0" tint="-4.9989318521683403E-2"/>
      <name val="Kulim Park"/>
    </font>
    <font>
      <sz val="11"/>
      <color theme="0" tint="-4.9989318521683403E-2"/>
      <name val="Kulim Park"/>
    </font>
    <font>
      <b/>
      <sz val="13"/>
      <color rgb="FFFFC000"/>
      <name val="Calibri"/>
      <family val="2"/>
      <scheme val="minor"/>
    </font>
    <font>
      <sz val="11"/>
      <color rgb="FF1F1F1F"/>
      <name val="Calibri"/>
      <family val="2"/>
      <scheme val="minor"/>
    </font>
  </fonts>
  <fills count="5">
    <fill>
      <patternFill patternType="none"/>
    </fill>
    <fill>
      <patternFill patternType="gray125"/>
    </fill>
    <fill>
      <patternFill patternType="solid">
        <fgColor rgb="FF282828"/>
        <bgColor indexed="64"/>
      </patternFill>
    </fill>
    <fill>
      <patternFill patternType="solid">
        <fgColor theme="1"/>
        <bgColor indexed="64"/>
      </patternFill>
    </fill>
    <fill>
      <patternFill patternType="solid">
        <fgColor theme="0"/>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3">
    <xf numFmtId="0" fontId="0" fillId="0" borderId="0" xfId="0"/>
    <xf numFmtId="0" fontId="1" fillId="2" borderId="0" xfId="0" applyFont="1" applyFill="1"/>
    <xf numFmtId="0" fontId="0" fillId="2" borderId="0" xfId="0" applyFill="1"/>
    <xf numFmtId="0" fontId="5" fillId="2" borderId="0" xfId="0" applyFont="1" applyFill="1" applyAlignment="1">
      <alignment horizontal="center" vertical="center"/>
    </xf>
    <xf numFmtId="0" fontId="6"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4" fillId="3" borderId="0" xfId="0" applyFont="1" applyFill="1"/>
    <xf numFmtId="0" fontId="4" fillId="4" borderId="0" xfId="0" applyFont="1" applyFill="1"/>
    <xf numFmtId="164" fontId="0" fillId="0" borderId="0" xfId="0" applyNumberFormat="1"/>
    <xf numFmtId="164" fontId="0" fillId="0" borderId="0" xfId="1" applyNumberFormat="1" applyFont="1"/>
    <xf numFmtId="0" fontId="4" fillId="3" borderId="0" xfId="0" applyFont="1" applyFill="1" applyAlignment="1">
      <alignment horizontal="center" vertical="center"/>
    </xf>
    <xf numFmtId="0" fontId="4" fillId="3" borderId="0" xfId="0" applyFont="1" applyFill="1" applyAlignment="1">
      <alignment horizontal="left" vertical="top"/>
    </xf>
    <xf numFmtId="9" fontId="3" fillId="0" borderId="0" xfId="0" applyNumberFormat="1" applyFont="1"/>
    <xf numFmtId="9" fontId="3" fillId="0" borderId="0" xfId="2" applyFont="1"/>
    <xf numFmtId="9" fontId="0" fillId="0" borderId="0" xfId="0" applyNumberFormat="1"/>
    <xf numFmtId="0" fontId="4" fillId="3" borderId="0" xfId="0" applyFont="1" applyFill="1" applyAlignment="1">
      <alignment horizontal="left" vertical="center"/>
    </xf>
    <xf numFmtId="0" fontId="7" fillId="0" borderId="0" xfId="0" applyFont="1" applyAlignment="1">
      <alignment horizontal="left" vertical="center"/>
    </xf>
    <xf numFmtId="165" fontId="0" fillId="0" borderId="0" xfId="0" applyNumberFormat="1"/>
    <xf numFmtId="165" fontId="3" fillId="0" borderId="0" xfId="0" applyNumberFormat="1" applyFont="1"/>
    <xf numFmtId="0" fontId="8" fillId="2" borderId="0" xfId="0" applyFont="1" applyFill="1"/>
    <xf numFmtId="0" fontId="0" fillId="0" borderId="0" xfId="0" applyNumberFormat="1"/>
    <xf numFmtId="0" fontId="0" fillId="2" borderId="0" xfId="0" applyFill="1" applyAlignment="1">
      <alignment horizontal="center"/>
    </xf>
  </cellXfs>
  <cellStyles count="3">
    <cellStyle name="Comma" xfId="1" builtinId="3"/>
    <cellStyle name="Normal" xfId="0" builtinId="0"/>
    <cellStyle name="Percent" xfId="2" builtinId="5"/>
  </cellStyles>
  <dxfs count="26">
    <dxf>
      <numFmt numFmtId="165" formatCode="0.0"/>
    </dxf>
    <dxf>
      <numFmt numFmtId="164" formatCode="_ * #,##0_ ;_ * \-#,##0_ ;_ * &quot;-&quot;??_ ;_ @_ "/>
    </dxf>
    <dxf>
      <font>
        <color rgb="FFE5B244"/>
        <name val="Cascadia Mono SemiBold"/>
        <family val="3"/>
        <scheme val="none"/>
      </font>
      <fill>
        <patternFill>
          <fgColor rgb="FF1F1F1F"/>
          <bgColor rgb="FF1F1F1F"/>
        </patternFill>
      </fill>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1" defaultTableStyle="TableStyleMedium2" defaultPivotStyle="PivotStyleLight16">
    <tableStyle name="Slicer Style 1" pivot="0" table="0" count="3" xr9:uid="{E00E8826-3B61-4854-89F9-1CC35BC1D18A}">
      <tableStyleElement type="wholeTable" dxfId="2"/>
    </tableStyle>
  </tableStyles>
  <colors>
    <mruColors>
      <color rgb="FF737373"/>
      <color rgb="FF282828"/>
      <color rgb="FFE5B244"/>
      <color rgb="FF1F1F1F"/>
      <color rgb="FF948A54"/>
      <color rgb="FF77933C"/>
      <color rgb="FFFFFF66"/>
    </mruColors>
  </colors>
  <extLst>
    <ext xmlns:x14="http://schemas.microsoft.com/office/spreadsheetml/2009/9/main" uri="{46F421CA-312F-682f-3DD2-61675219B42D}">
      <x14:dxfs count="2">
        <dxf>
          <font>
            <color rgb="FF1F1F1F"/>
            <name val="Calibri"/>
            <family val="2"/>
            <scheme val="minor"/>
          </font>
          <fill>
            <patternFill>
              <fgColor rgb="FFE5B244"/>
              <bgColor rgb="FFE5B244"/>
            </patternFill>
          </fill>
        </dxf>
        <dxf>
          <font>
            <b val="0"/>
            <i val="0"/>
            <sz val="10"/>
            <color rgb="FF1F1F1F"/>
            <name val="Calibri"/>
            <family val="2"/>
            <scheme val="minor"/>
          </font>
          <fill>
            <patternFill>
              <fgColor rgb="FFE5B244"/>
              <bgColor rgb="FFE5B24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9.9464146699435006E-3"/>
          <c:w val="0.93311503854755806"/>
          <c:h val="0.9900535853300565"/>
        </c:manualLayout>
      </c:layout>
      <c:pieChart>
        <c:varyColors val="1"/>
        <c:ser>
          <c:idx val="0"/>
          <c:order val="0"/>
          <c:spPr>
            <a:ln>
              <a:solidFill>
                <a:srgbClr val="1F1F1F"/>
              </a:solidFill>
            </a:ln>
          </c:spPr>
          <c:dPt>
            <c:idx val="0"/>
            <c:bubble3D val="0"/>
            <c:spPr>
              <a:solidFill>
                <a:srgbClr val="E5B244"/>
              </a:solidFill>
              <a:ln w="19050">
                <a:solidFill>
                  <a:srgbClr val="1F1F1F"/>
                </a:solidFill>
              </a:ln>
              <a:effectLst/>
            </c:spPr>
            <c:extLst>
              <c:ext xmlns:c16="http://schemas.microsoft.com/office/drawing/2014/chart" uri="{C3380CC4-5D6E-409C-BE32-E72D297353CC}">
                <c16:uniqueId val="{00000001-8BA2-4A18-ABCB-15340C58D73B}"/>
              </c:ext>
            </c:extLst>
          </c:dPt>
          <c:dPt>
            <c:idx val="1"/>
            <c:bubble3D val="0"/>
            <c:spPr>
              <a:solidFill>
                <a:schemeClr val="tx1">
                  <a:lumMod val="75000"/>
                  <a:lumOff val="25000"/>
                </a:schemeClr>
              </a:solidFill>
              <a:ln w="19050">
                <a:solidFill>
                  <a:srgbClr val="1F1F1F"/>
                </a:solidFill>
              </a:ln>
              <a:effectLst/>
            </c:spPr>
            <c:extLst>
              <c:ext xmlns:c16="http://schemas.microsoft.com/office/drawing/2014/chart" uri="{C3380CC4-5D6E-409C-BE32-E72D297353CC}">
                <c16:uniqueId val="{00000003-8BA2-4A18-ABCB-15340C58D73B}"/>
              </c:ext>
            </c:extLst>
          </c:dPt>
          <c:dPt>
            <c:idx val="2"/>
            <c:bubble3D val="0"/>
            <c:spPr>
              <a:solidFill>
                <a:schemeClr val="bg2">
                  <a:lumMod val="90000"/>
                </a:schemeClr>
              </a:solidFill>
              <a:ln w="19050">
                <a:solidFill>
                  <a:srgbClr val="1F1F1F"/>
                </a:solidFill>
              </a:ln>
              <a:effectLst/>
            </c:spPr>
            <c:extLst>
              <c:ext xmlns:c16="http://schemas.microsoft.com/office/drawing/2014/chart" uri="{C3380CC4-5D6E-409C-BE32-E72D297353CC}">
                <c16:uniqueId val="{00000005-8BA2-4A18-ABCB-15340C58D73B}"/>
              </c:ext>
            </c:extLst>
          </c:dPt>
          <c:cat>
            <c:strRef>
              <c:f>'Pivot Tables'!$B$12:$B$14</c:f>
              <c:strCache>
                <c:ptCount val="3"/>
                <c:pt idx="0">
                  <c:v>Contract</c:v>
                </c:pt>
                <c:pt idx="1">
                  <c:v>Full-Time</c:v>
                </c:pt>
                <c:pt idx="2">
                  <c:v>Part-Time</c:v>
                </c:pt>
              </c:strCache>
            </c:strRef>
          </c:cat>
          <c:val>
            <c:numRef>
              <c:f>'Pivot Tables'!$C$12:$C$14</c:f>
              <c:numCache>
                <c:formatCode>General</c:formatCode>
                <c:ptCount val="3"/>
                <c:pt idx="0">
                  <c:v>17</c:v>
                </c:pt>
                <c:pt idx="1">
                  <c:v>20</c:v>
                </c:pt>
                <c:pt idx="2">
                  <c:v>13</c:v>
                </c:pt>
              </c:numCache>
            </c:numRef>
          </c:val>
          <c:extLst>
            <c:ext xmlns:c16="http://schemas.microsoft.com/office/drawing/2014/chart" uri="{C3380CC4-5D6E-409C-BE32-E72D297353CC}">
              <c16:uniqueId val="{00000006-8BA2-4A18-ABCB-15340C58D73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Tables!Age range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7575691498772E-2"/>
          <c:y val="3.4901727417142155E-2"/>
          <c:w val="0.88504848617002452"/>
          <c:h val="0.81601721138453964"/>
        </c:manualLayout>
      </c:layout>
      <c:barChart>
        <c:barDir val="col"/>
        <c:grouping val="clustered"/>
        <c:varyColors val="0"/>
        <c:ser>
          <c:idx val="0"/>
          <c:order val="0"/>
          <c:tx>
            <c:strRef>
              <c:f>'Pivot Tables'!$J$5:$J$6</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18-25</c:v>
                </c:pt>
                <c:pt idx="1">
                  <c:v>26-35</c:v>
                </c:pt>
                <c:pt idx="2">
                  <c:v>36-45</c:v>
                </c:pt>
                <c:pt idx="3">
                  <c:v>46-55</c:v>
                </c:pt>
                <c:pt idx="4">
                  <c:v>56 &lt;</c:v>
                </c:pt>
              </c:strCache>
            </c:strRef>
          </c:cat>
          <c:val>
            <c:numRef>
              <c:f>'Pivot Tables'!$J$7:$J$12</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0AFC-4BA1-AAAC-1E1F9F5E0DBA}"/>
            </c:ext>
          </c:extLst>
        </c:ser>
        <c:ser>
          <c:idx val="1"/>
          <c:order val="1"/>
          <c:tx>
            <c:strRef>
              <c:f>'Pivot Tables'!$K$5:$K$6</c:f>
              <c:strCache>
                <c:ptCount val="1"/>
                <c:pt idx="0">
                  <c:v>Male</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18-25</c:v>
                </c:pt>
                <c:pt idx="1">
                  <c:v>26-35</c:v>
                </c:pt>
                <c:pt idx="2">
                  <c:v>36-45</c:v>
                </c:pt>
                <c:pt idx="3">
                  <c:v>46-55</c:v>
                </c:pt>
                <c:pt idx="4">
                  <c:v>56 &lt;</c:v>
                </c:pt>
              </c:strCache>
            </c:strRef>
          </c:cat>
          <c:val>
            <c:numRef>
              <c:f>'Pivot Tables'!$K$7:$K$12</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1A-8659-4DB6-9A1F-EBAB0CED8F3D}"/>
            </c:ext>
          </c:extLst>
        </c:ser>
        <c:dLbls>
          <c:dLblPos val="outEnd"/>
          <c:showLegendKey val="0"/>
          <c:showVal val="1"/>
          <c:showCatName val="0"/>
          <c:showSerName val="0"/>
          <c:showPercent val="0"/>
          <c:showBubbleSize val="0"/>
        </c:dLbls>
        <c:gapWidth val="219"/>
        <c:overlap val="-27"/>
        <c:axId val="286694031"/>
        <c:axId val="286699791"/>
      </c:barChart>
      <c:catAx>
        <c:axId val="28669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6699791"/>
        <c:crosses val="autoZero"/>
        <c:auto val="1"/>
        <c:lblAlgn val="ctr"/>
        <c:lblOffset val="100"/>
        <c:noMultiLvlLbl val="0"/>
      </c:catAx>
      <c:valAx>
        <c:axId val="286699791"/>
        <c:scaling>
          <c:orientation val="minMax"/>
        </c:scaling>
        <c:delete val="1"/>
        <c:axPos val="l"/>
        <c:majorGridlines>
          <c:spPr>
            <a:ln w="9525" cap="flat" cmpd="sng" algn="ctr">
              <a:solidFill>
                <a:srgbClr val="E5B244">
                  <a:alpha val="34000"/>
                </a:srgbClr>
              </a:solidFill>
              <a:prstDash val="dashDot"/>
              <a:round/>
            </a:ln>
            <a:effectLst/>
          </c:spPr>
        </c:majorGridlines>
        <c:numFmt formatCode="General" sourceLinked="1"/>
        <c:majorTickMark val="none"/>
        <c:minorTickMark val="none"/>
        <c:tickLblPos val="nextTo"/>
        <c:crossAx val="28669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Tables'!$P$12</c:f>
              <c:numCache>
                <c:formatCode>0%</c:formatCode>
                <c:ptCount val="1"/>
                <c:pt idx="0">
                  <c:v>0.46</c:v>
                </c:pt>
              </c:numCache>
            </c:numRef>
          </c:val>
          <c:extLst>
            <c:ext xmlns:c16="http://schemas.microsoft.com/office/drawing/2014/chart" uri="{C3380CC4-5D6E-409C-BE32-E72D297353CC}">
              <c16:uniqueId val="{00000000-7D02-45A6-95DF-9407870BE48E}"/>
            </c:ext>
          </c:extLst>
        </c:ser>
        <c:ser>
          <c:idx val="1"/>
          <c:order val="1"/>
          <c:spPr>
            <a:solidFill>
              <a:srgbClr val="1F1F1F"/>
            </a:solidFill>
            <a:ln>
              <a:noFill/>
            </a:ln>
            <a:effectLst/>
          </c:spPr>
          <c:invertIfNegative val="0"/>
          <c:val>
            <c:numRef>
              <c:f>'Pivot Tables'!$Q$12</c:f>
              <c:numCache>
                <c:formatCode>0%</c:formatCode>
                <c:ptCount val="1"/>
                <c:pt idx="0">
                  <c:v>0.54</c:v>
                </c:pt>
              </c:numCache>
            </c:numRef>
          </c:val>
          <c:extLst>
            <c:ext xmlns:c16="http://schemas.microsoft.com/office/drawing/2014/chart" uri="{C3380CC4-5D6E-409C-BE32-E72D297353CC}">
              <c16:uniqueId val="{00000001-7D02-45A6-95DF-9407870BE48E}"/>
            </c:ext>
          </c:extLst>
        </c:ser>
        <c:dLbls>
          <c:showLegendKey val="0"/>
          <c:showVal val="0"/>
          <c:showCatName val="0"/>
          <c:showSerName val="0"/>
          <c:showPercent val="0"/>
          <c:showBubbleSize val="0"/>
        </c:dLbls>
        <c:gapWidth val="150"/>
        <c:overlap val="100"/>
        <c:axId val="1975474111"/>
        <c:axId val="1975474591"/>
      </c:barChart>
      <c:catAx>
        <c:axId val="1975474111"/>
        <c:scaling>
          <c:orientation val="minMax"/>
        </c:scaling>
        <c:delete val="1"/>
        <c:axPos val="l"/>
        <c:majorTickMark val="none"/>
        <c:minorTickMark val="none"/>
        <c:tickLblPos val="nextTo"/>
        <c:crossAx val="1975474591"/>
        <c:crosses val="autoZero"/>
        <c:auto val="1"/>
        <c:lblAlgn val="ctr"/>
        <c:lblOffset val="100"/>
        <c:noMultiLvlLbl val="0"/>
      </c:catAx>
      <c:valAx>
        <c:axId val="197547459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7547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Tables'!$P$13</c:f>
              <c:numCache>
                <c:formatCode>0%</c:formatCode>
                <c:ptCount val="1"/>
                <c:pt idx="0">
                  <c:v>0.16</c:v>
                </c:pt>
              </c:numCache>
            </c:numRef>
          </c:val>
          <c:extLst>
            <c:ext xmlns:c16="http://schemas.microsoft.com/office/drawing/2014/chart" uri="{C3380CC4-5D6E-409C-BE32-E72D297353CC}">
              <c16:uniqueId val="{00000000-7ABA-4B70-A691-2F90C9018A1A}"/>
            </c:ext>
          </c:extLst>
        </c:ser>
        <c:ser>
          <c:idx val="1"/>
          <c:order val="1"/>
          <c:spPr>
            <a:solidFill>
              <a:schemeClr val="accent2"/>
            </a:solidFill>
            <a:ln>
              <a:noFill/>
            </a:ln>
            <a:effectLst/>
          </c:spPr>
          <c:invertIfNegative val="0"/>
          <c:dPt>
            <c:idx val="0"/>
            <c:invertIfNegative val="0"/>
            <c:bubble3D val="0"/>
            <c:spPr>
              <a:solidFill>
                <a:srgbClr val="1F1F1F"/>
              </a:solidFill>
              <a:ln>
                <a:noFill/>
              </a:ln>
              <a:effectLst/>
            </c:spPr>
            <c:extLst>
              <c:ext xmlns:c16="http://schemas.microsoft.com/office/drawing/2014/chart" uri="{C3380CC4-5D6E-409C-BE32-E72D297353CC}">
                <c16:uniqueId val="{00000002-7ABA-4B70-A691-2F90C9018A1A}"/>
              </c:ext>
            </c:extLst>
          </c:dPt>
          <c:val>
            <c:numRef>
              <c:f>'Pivot Tables'!$Q$13</c:f>
              <c:numCache>
                <c:formatCode>0%</c:formatCode>
                <c:ptCount val="1"/>
                <c:pt idx="0">
                  <c:v>0.84</c:v>
                </c:pt>
              </c:numCache>
            </c:numRef>
          </c:val>
          <c:extLst>
            <c:ext xmlns:c16="http://schemas.microsoft.com/office/drawing/2014/chart" uri="{C3380CC4-5D6E-409C-BE32-E72D297353CC}">
              <c16:uniqueId val="{00000001-7ABA-4B70-A691-2F90C9018A1A}"/>
            </c:ext>
          </c:extLst>
        </c:ser>
        <c:dLbls>
          <c:showLegendKey val="0"/>
          <c:showVal val="0"/>
          <c:showCatName val="0"/>
          <c:showSerName val="0"/>
          <c:showPercent val="0"/>
          <c:showBubbleSize val="0"/>
        </c:dLbls>
        <c:gapWidth val="150"/>
        <c:overlap val="100"/>
        <c:axId val="1695031695"/>
        <c:axId val="1695044655"/>
      </c:barChart>
      <c:catAx>
        <c:axId val="1695031695"/>
        <c:scaling>
          <c:orientation val="minMax"/>
        </c:scaling>
        <c:delete val="1"/>
        <c:axPos val="l"/>
        <c:majorTickMark val="none"/>
        <c:minorTickMark val="none"/>
        <c:tickLblPos val="nextTo"/>
        <c:crossAx val="1695044655"/>
        <c:crosses val="autoZero"/>
        <c:auto val="1"/>
        <c:lblAlgn val="ctr"/>
        <c:lblOffset val="100"/>
        <c:noMultiLvlLbl val="0"/>
      </c:catAx>
      <c:valAx>
        <c:axId val="169504465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9503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 Tables'!$P$14</c:f>
              <c:numCache>
                <c:formatCode>0%</c:formatCode>
                <c:ptCount val="1"/>
                <c:pt idx="0">
                  <c:v>0.38</c:v>
                </c:pt>
              </c:numCache>
            </c:numRef>
          </c:val>
          <c:extLst>
            <c:ext xmlns:c16="http://schemas.microsoft.com/office/drawing/2014/chart" uri="{C3380CC4-5D6E-409C-BE32-E72D297353CC}">
              <c16:uniqueId val="{00000000-09F5-4974-8F44-C254E35233FD}"/>
            </c:ext>
          </c:extLst>
        </c:ser>
        <c:ser>
          <c:idx val="1"/>
          <c:order val="1"/>
          <c:spPr>
            <a:solidFill>
              <a:srgbClr val="1F1F1F"/>
            </a:solidFill>
            <a:ln>
              <a:noFill/>
            </a:ln>
            <a:effectLst/>
          </c:spPr>
          <c:invertIfNegative val="0"/>
          <c:dPt>
            <c:idx val="0"/>
            <c:invertIfNegative val="0"/>
            <c:bubble3D val="0"/>
            <c:spPr>
              <a:solidFill>
                <a:srgbClr val="1F1F1F"/>
              </a:solidFill>
              <a:ln>
                <a:noFill/>
              </a:ln>
              <a:effectLst/>
            </c:spPr>
            <c:extLst>
              <c:ext xmlns:c16="http://schemas.microsoft.com/office/drawing/2014/chart" uri="{C3380CC4-5D6E-409C-BE32-E72D297353CC}">
                <c16:uniqueId val="{00000002-09F5-4974-8F44-C254E35233FD}"/>
              </c:ext>
            </c:extLst>
          </c:dPt>
          <c:val>
            <c:numRef>
              <c:f>'Pivot Tables'!$Q$14</c:f>
              <c:numCache>
                <c:formatCode>0%</c:formatCode>
                <c:ptCount val="1"/>
                <c:pt idx="0">
                  <c:v>0.62</c:v>
                </c:pt>
              </c:numCache>
            </c:numRef>
          </c:val>
          <c:extLst>
            <c:ext xmlns:c16="http://schemas.microsoft.com/office/drawing/2014/chart" uri="{C3380CC4-5D6E-409C-BE32-E72D297353CC}">
              <c16:uniqueId val="{00000001-09F5-4974-8F44-C254E35233FD}"/>
            </c:ext>
          </c:extLst>
        </c:ser>
        <c:dLbls>
          <c:showLegendKey val="0"/>
          <c:showVal val="0"/>
          <c:showCatName val="0"/>
          <c:showSerName val="0"/>
          <c:showPercent val="0"/>
          <c:showBubbleSize val="0"/>
        </c:dLbls>
        <c:gapWidth val="150"/>
        <c:overlap val="100"/>
        <c:axId val="2030666351"/>
        <c:axId val="2030667311"/>
      </c:barChart>
      <c:catAx>
        <c:axId val="2030666351"/>
        <c:scaling>
          <c:orientation val="minMax"/>
        </c:scaling>
        <c:delete val="1"/>
        <c:axPos val="l"/>
        <c:numFmt formatCode="General" sourceLinked="1"/>
        <c:majorTickMark val="none"/>
        <c:minorTickMark val="none"/>
        <c:tickLblPos val="nextTo"/>
        <c:crossAx val="2030667311"/>
        <c:crosses val="autoZero"/>
        <c:auto val="1"/>
        <c:lblAlgn val="ctr"/>
        <c:lblOffset val="100"/>
        <c:noMultiLvlLbl val="0"/>
      </c:catAx>
      <c:valAx>
        <c:axId val="203066731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3066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E5B244"/>
              </a:solidFill>
              <a:ln w="19050">
                <a:noFill/>
              </a:ln>
              <a:effectLst/>
            </c:spPr>
            <c:extLst>
              <c:ext xmlns:c16="http://schemas.microsoft.com/office/drawing/2014/chart" uri="{C3380CC4-5D6E-409C-BE32-E72D297353CC}">
                <c16:uniqueId val="{00000001-6276-4126-9CBA-46AF1581F6B5}"/>
              </c:ext>
            </c:extLst>
          </c:dPt>
          <c:dPt>
            <c:idx val="1"/>
            <c:bubble3D val="0"/>
            <c:spPr>
              <a:solidFill>
                <a:schemeClr val="tx1"/>
              </a:solidFill>
              <a:ln w="19050">
                <a:noFill/>
              </a:ln>
              <a:effectLst/>
            </c:spPr>
            <c:extLst>
              <c:ext xmlns:c16="http://schemas.microsoft.com/office/drawing/2014/chart" uri="{C3380CC4-5D6E-409C-BE32-E72D297353CC}">
                <c16:uniqueId val="{00000003-6276-4126-9CBA-46AF1581F6B5}"/>
              </c:ext>
            </c:extLst>
          </c:dPt>
          <c:val>
            <c:numRef>
              <c:f>'Pivot Tables'!$K$23:$L$23</c:f>
              <c:numCache>
                <c:formatCode>0%</c:formatCode>
                <c:ptCount val="2"/>
                <c:pt idx="0">
                  <c:v>0.52</c:v>
                </c:pt>
                <c:pt idx="1">
                  <c:v>0.48</c:v>
                </c:pt>
              </c:numCache>
            </c:numRef>
          </c:val>
          <c:extLst>
            <c:ext xmlns:c16="http://schemas.microsoft.com/office/drawing/2014/chart" uri="{C3380CC4-5D6E-409C-BE32-E72D297353CC}">
              <c16:uniqueId val="{00000004-6276-4126-9CBA-46AF1581F6B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2193-4D0B-931A-777B4D61A8C3}"/>
              </c:ext>
            </c:extLst>
          </c:dPt>
          <c:dPt>
            <c:idx val="1"/>
            <c:bubble3D val="0"/>
            <c:spPr>
              <a:solidFill>
                <a:schemeClr val="tx1"/>
              </a:solidFill>
              <a:ln w="19050">
                <a:noFill/>
              </a:ln>
              <a:effectLst/>
            </c:spPr>
            <c:extLst>
              <c:ext xmlns:c16="http://schemas.microsoft.com/office/drawing/2014/chart" uri="{C3380CC4-5D6E-409C-BE32-E72D297353CC}">
                <c16:uniqueId val="{00000003-2193-4D0B-931A-777B4D61A8C3}"/>
              </c:ext>
            </c:extLst>
          </c:dPt>
          <c:val>
            <c:numRef>
              <c:f>'Pivot Tables'!$K$22:$L$22</c:f>
              <c:numCache>
                <c:formatCode>0%</c:formatCode>
                <c:ptCount val="2"/>
                <c:pt idx="0">
                  <c:v>0.48</c:v>
                </c:pt>
                <c:pt idx="1">
                  <c:v>0.52</c:v>
                </c:pt>
              </c:numCache>
            </c:numRef>
          </c:val>
          <c:extLst>
            <c:ext xmlns:c16="http://schemas.microsoft.com/office/drawing/2014/chart" uri="{C3380CC4-5D6E-409C-BE32-E72D297353CC}">
              <c16:uniqueId val="{00000004-2193-4D0B-931A-777B4D61A8C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Tables'!$E$14</c:f>
              <c:strCache>
                <c:ptCount val="1"/>
                <c:pt idx="0">
                  <c:v>Analyst</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Tables'!$G$14</c:f>
              <c:numCache>
                <c:formatCode>_ * #,##0_ ;_ * \-#,##0_ ;_ * "-"??_ ;_ @_ </c:formatCode>
                <c:ptCount val="1"/>
                <c:pt idx="0">
                  <c:v>28</c:v>
                </c:pt>
              </c:numCache>
            </c:numRef>
          </c:val>
          <c:extLst>
            <c:ext xmlns:c16="http://schemas.microsoft.com/office/drawing/2014/chart" uri="{C3380CC4-5D6E-409C-BE32-E72D297353CC}">
              <c16:uniqueId val="{00000000-285B-465B-AF56-AA094F634C41}"/>
            </c:ext>
          </c:extLst>
        </c:ser>
        <c:ser>
          <c:idx val="1"/>
          <c:order val="1"/>
          <c:tx>
            <c:strRef>
              <c:f>'Pivot Tables'!$E$15</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Tables'!$G$15</c:f>
              <c:numCache>
                <c:formatCode>_ * #,##0_ ;_ * \-#,##0_ ;_ * "-"??_ ;_ @_ </c:formatCode>
                <c:ptCount val="1"/>
                <c:pt idx="0">
                  <c:v>110</c:v>
                </c:pt>
              </c:numCache>
            </c:numRef>
          </c:val>
          <c:extLst>
            <c:ext xmlns:c16="http://schemas.microsoft.com/office/drawing/2014/chart" uri="{C3380CC4-5D6E-409C-BE32-E72D297353CC}">
              <c16:uniqueId val="{00000001-285B-465B-AF56-AA094F634C41}"/>
            </c:ext>
          </c:extLst>
        </c:ser>
        <c:ser>
          <c:idx val="2"/>
          <c:order val="2"/>
          <c:tx>
            <c:strRef>
              <c:f>'Pivot Tables'!$E$16</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Tables'!$G$16</c:f>
              <c:numCache>
                <c:formatCode>_ * #,##0_ ;_ * \-#,##0_ ;_ * "-"??_ ;_ @_ </c:formatCode>
                <c:ptCount val="1"/>
                <c:pt idx="0">
                  <c:v>104</c:v>
                </c:pt>
              </c:numCache>
            </c:numRef>
          </c:val>
          <c:extLst>
            <c:ext xmlns:c16="http://schemas.microsoft.com/office/drawing/2014/chart" uri="{C3380CC4-5D6E-409C-BE32-E72D297353CC}">
              <c16:uniqueId val="{00000002-285B-465B-AF56-AA094F634C41}"/>
            </c:ext>
          </c:extLst>
        </c:ser>
        <c:ser>
          <c:idx val="3"/>
          <c:order val="3"/>
          <c:tx>
            <c:strRef>
              <c:f>'Pivot Tables'!$E$17</c:f>
              <c:strCache>
                <c:ptCount val="1"/>
                <c:pt idx="0">
                  <c:v>HR Specialist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Tables'!$G$17</c:f>
              <c:numCache>
                <c:formatCode>_ * #,##0_ ;_ * \-#,##0_ ;_ * "-"??_ ;_ @_ </c:formatCode>
                <c:ptCount val="1"/>
                <c:pt idx="0">
                  <c:v>123</c:v>
                </c:pt>
              </c:numCache>
            </c:numRef>
          </c:val>
          <c:extLst>
            <c:ext xmlns:c16="http://schemas.microsoft.com/office/drawing/2014/chart" uri="{C3380CC4-5D6E-409C-BE32-E72D297353CC}">
              <c16:uniqueId val="{00000003-285B-465B-AF56-AA094F634C41}"/>
            </c:ext>
          </c:extLst>
        </c:ser>
        <c:ser>
          <c:idx val="4"/>
          <c:order val="4"/>
          <c:tx>
            <c:strRef>
              <c:f>'Pivot Tables'!$E$18</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Tables'!$G$18</c:f>
              <c:numCache>
                <c:formatCode>_ * #,##0_ ;_ * \-#,##0_ ;_ * "-"??_ ;_ @_ </c:formatCode>
                <c:ptCount val="1"/>
                <c:pt idx="0">
                  <c:v>122</c:v>
                </c:pt>
              </c:numCache>
            </c:numRef>
          </c:val>
          <c:extLst>
            <c:ext xmlns:c16="http://schemas.microsoft.com/office/drawing/2014/chart" uri="{C3380CC4-5D6E-409C-BE32-E72D297353CC}">
              <c16:uniqueId val="{00000004-285B-465B-AF56-AA094F634C41}"/>
            </c:ext>
          </c:extLst>
        </c:ser>
        <c:dLbls>
          <c:dLblPos val="outEnd"/>
          <c:showLegendKey val="0"/>
          <c:showVal val="1"/>
          <c:showCatName val="0"/>
          <c:showSerName val="0"/>
          <c:showPercent val="0"/>
          <c:showBubbleSize val="0"/>
        </c:dLbls>
        <c:gapWidth val="219"/>
        <c:overlap val="-27"/>
        <c:axId val="788009088"/>
        <c:axId val="788014848"/>
      </c:barChart>
      <c:catAx>
        <c:axId val="788009088"/>
        <c:scaling>
          <c:orientation val="minMax"/>
        </c:scaling>
        <c:delete val="1"/>
        <c:axPos val="b"/>
        <c:numFmt formatCode="General" sourceLinked="1"/>
        <c:majorTickMark val="none"/>
        <c:minorTickMark val="none"/>
        <c:tickLblPos val="nextTo"/>
        <c:crossAx val="788014848"/>
        <c:crosses val="autoZero"/>
        <c:auto val="1"/>
        <c:lblAlgn val="ctr"/>
        <c:lblOffset val="100"/>
        <c:noMultiLvlLbl val="0"/>
      </c:catAx>
      <c:valAx>
        <c:axId val="788014848"/>
        <c:scaling>
          <c:orientation val="minMax"/>
        </c:scaling>
        <c:delete val="1"/>
        <c:axPos val="l"/>
        <c:majorGridlines>
          <c:spPr>
            <a:ln w="9525" cap="rnd" cmpd="sng" algn="ctr">
              <a:solidFill>
                <a:srgbClr val="E5B244">
                  <a:alpha val="35000"/>
                </a:srgbClr>
              </a:solidFill>
              <a:prstDash val="dashDot"/>
              <a:round/>
            </a:ln>
            <a:effectLst/>
          </c:spPr>
        </c:majorGridlines>
        <c:numFmt formatCode="_ * #,##0_ ;_ * \-#,##0_ ;_ * &quot;-&quot;??_ ;_ @_ " sourceLinked="1"/>
        <c:majorTickMark val="none"/>
        <c:minorTickMark val="none"/>
        <c:tickLblPos val="nextTo"/>
        <c:crossAx val="788009088"/>
        <c:crosses val="autoZero"/>
        <c:crossBetween val="between"/>
      </c:valAx>
      <c:spPr>
        <a:solidFill>
          <a:srgbClr val="282828">
            <a:alpha val="96000"/>
          </a:srgb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 Tables!Region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64066032910787"/>
          <c:y val="5.0769254139693E-2"/>
          <c:w val="0.73385934118664009"/>
          <c:h val="0.89846149172061385"/>
        </c:manualLayout>
      </c:layout>
      <c:barChart>
        <c:barDir val="bar"/>
        <c:grouping val="clustered"/>
        <c:varyColors val="0"/>
        <c:ser>
          <c:idx val="0"/>
          <c:order val="0"/>
          <c:tx>
            <c:strRef>
              <c:f>'Pivot Tables'!$W$5</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Tables'!$V$6:$V$12</c:f>
              <c:strCache>
                <c:ptCount val="6"/>
                <c:pt idx="0">
                  <c:v>Central</c:v>
                </c:pt>
                <c:pt idx="1">
                  <c:v>East</c:v>
                </c:pt>
                <c:pt idx="2">
                  <c:v>North</c:v>
                </c:pt>
                <c:pt idx="3">
                  <c:v>South</c:v>
                </c:pt>
                <c:pt idx="4">
                  <c:v>West</c:v>
                </c:pt>
                <c:pt idx="5">
                  <c:v>(blank)</c:v>
                </c:pt>
              </c:strCache>
            </c:strRef>
          </c:cat>
          <c:val>
            <c:numRef>
              <c:f>'Pivot Tables'!$W$6:$W$12</c:f>
              <c:numCache>
                <c:formatCode>General</c:formatCode>
                <c:ptCount val="6"/>
                <c:pt idx="0">
                  <c:v>14</c:v>
                </c:pt>
                <c:pt idx="1">
                  <c:v>10</c:v>
                </c:pt>
                <c:pt idx="2">
                  <c:v>7</c:v>
                </c:pt>
                <c:pt idx="3">
                  <c:v>10</c:v>
                </c:pt>
                <c:pt idx="4">
                  <c:v>9</c:v>
                </c:pt>
              </c:numCache>
            </c:numRef>
          </c:val>
          <c:extLst>
            <c:ext xmlns:c16="http://schemas.microsoft.com/office/drawing/2014/chart" uri="{C3380CC4-5D6E-409C-BE32-E72D297353CC}">
              <c16:uniqueId val="{00000000-F872-4829-A92E-1C15412403F6}"/>
            </c:ext>
          </c:extLst>
        </c:ser>
        <c:dLbls>
          <c:dLblPos val="outEnd"/>
          <c:showLegendKey val="0"/>
          <c:showVal val="1"/>
          <c:showCatName val="0"/>
          <c:showSerName val="0"/>
          <c:showPercent val="0"/>
          <c:showBubbleSize val="0"/>
        </c:dLbls>
        <c:gapWidth val="25"/>
        <c:axId val="898671583"/>
        <c:axId val="898690303"/>
      </c:barChart>
      <c:catAx>
        <c:axId val="89867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690303"/>
        <c:crosses val="autoZero"/>
        <c:auto val="1"/>
        <c:lblAlgn val="ctr"/>
        <c:lblOffset val="100"/>
        <c:noMultiLvlLbl val="0"/>
      </c:catAx>
      <c:valAx>
        <c:axId val="898690303"/>
        <c:scaling>
          <c:orientation val="minMax"/>
        </c:scaling>
        <c:delete val="1"/>
        <c:axPos val="b"/>
        <c:numFmt formatCode="General" sourceLinked="1"/>
        <c:majorTickMark val="none"/>
        <c:minorTickMark val="none"/>
        <c:tickLblPos val="nextTo"/>
        <c:crossAx val="89867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ustomXml" Target="../ink/ink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ustomXml" Target="../ink/ink1.xml"/><Relationship Id="rId5" Type="http://schemas.openxmlformats.org/officeDocument/2006/relationships/chart" Target="../charts/chart5.xml"/><Relationship Id="rId15" Type="http://schemas.openxmlformats.org/officeDocument/2006/relationships/image" Target="../media/image4.pn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30096</xdr:rowOff>
    </xdr:from>
    <xdr:to>
      <xdr:col>17</xdr:col>
      <xdr:colOff>0</xdr:colOff>
      <xdr:row>34</xdr:row>
      <xdr:rowOff>0</xdr:rowOff>
    </xdr:to>
    <xdr:sp macro="" textlink="">
      <xdr:nvSpPr>
        <xdr:cNvPr id="2" name="Rectangle: Rounded Corners 1">
          <a:extLst>
            <a:ext uri="{FF2B5EF4-FFF2-40B4-BE49-F238E27FC236}">
              <a16:creationId xmlns:a16="http://schemas.microsoft.com/office/drawing/2014/main" id="{D18E0E0A-8FD9-32C3-E7C1-65E30AAA356D}"/>
            </a:ext>
          </a:extLst>
        </xdr:cNvPr>
        <xdr:cNvSpPr/>
      </xdr:nvSpPr>
      <xdr:spPr>
        <a:xfrm>
          <a:off x="1" y="30096"/>
          <a:ext cx="10429067" cy="6190751"/>
        </a:xfrm>
        <a:prstGeom prst="roundRect">
          <a:avLst>
            <a:gd name="adj" fmla="val 2333"/>
          </a:avLst>
        </a:prstGeom>
        <a:solidFill>
          <a:srgbClr val="1F1F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169401</xdr:colOff>
      <xdr:row>21</xdr:row>
      <xdr:rowOff>81675</xdr:rowOff>
    </xdr:from>
    <xdr:to>
      <xdr:col>3</xdr:col>
      <xdr:colOff>288340</xdr:colOff>
      <xdr:row>33</xdr:row>
      <xdr:rowOff>5334</xdr:rowOff>
    </xdr:to>
    <xdr:sp macro="" textlink="">
      <xdr:nvSpPr>
        <xdr:cNvPr id="3" name="Rectangle: Rounded Corners 2">
          <a:extLst>
            <a:ext uri="{FF2B5EF4-FFF2-40B4-BE49-F238E27FC236}">
              <a16:creationId xmlns:a16="http://schemas.microsoft.com/office/drawing/2014/main" id="{5D5F2208-4FBD-8F16-27B4-EC78AC4191FF}"/>
            </a:ext>
          </a:extLst>
        </xdr:cNvPr>
        <xdr:cNvSpPr/>
      </xdr:nvSpPr>
      <xdr:spPr>
        <a:xfrm>
          <a:off x="169401" y="3891675"/>
          <a:ext cx="1946184" cy="2100802"/>
        </a:xfrm>
        <a:prstGeom prst="roundRect">
          <a:avLst>
            <a:gd name="adj" fmla="val 700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1000" b="1" i="0" u="none" strike="noStrike">
            <a:solidFill>
              <a:schemeClr val="bg1"/>
            </a:solidFill>
            <a:latin typeface="Calibri"/>
            <a:ea typeface="Calibri"/>
            <a:cs typeface="Calibri"/>
          </a:endParaRPr>
        </a:p>
      </xdr:txBody>
    </xdr:sp>
    <xdr:clientData/>
  </xdr:twoCellAnchor>
  <xdr:twoCellAnchor>
    <xdr:from>
      <xdr:col>0</xdr:col>
      <xdr:colOff>209141</xdr:colOff>
      <xdr:row>5</xdr:row>
      <xdr:rowOff>129152</xdr:rowOff>
    </xdr:from>
    <xdr:to>
      <xdr:col>3</xdr:col>
      <xdr:colOff>288341</xdr:colOff>
      <xdr:row>21</xdr:row>
      <xdr:rowOff>64542</xdr:rowOff>
    </xdr:to>
    <xdr:sp macro="" textlink="">
      <xdr:nvSpPr>
        <xdr:cNvPr id="4" name="Rectangle: Rounded Corners 3">
          <a:extLst>
            <a:ext uri="{FF2B5EF4-FFF2-40B4-BE49-F238E27FC236}">
              <a16:creationId xmlns:a16="http://schemas.microsoft.com/office/drawing/2014/main" id="{0C3FADB7-F2A7-43F9-95EE-417359B48F03}"/>
            </a:ext>
          </a:extLst>
        </xdr:cNvPr>
        <xdr:cNvSpPr/>
      </xdr:nvSpPr>
      <xdr:spPr>
        <a:xfrm>
          <a:off x="209141" y="1043983"/>
          <a:ext cx="1919624" cy="2862847"/>
        </a:xfrm>
        <a:prstGeom prst="roundRect">
          <a:avLst>
            <a:gd name="adj" fmla="val 6048"/>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477036</xdr:colOff>
      <xdr:row>18</xdr:row>
      <xdr:rowOff>134738</xdr:rowOff>
    </xdr:from>
    <xdr:to>
      <xdr:col>7</xdr:col>
      <xdr:colOff>480719</xdr:colOff>
      <xdr:row>33</xdr:row>
      <xdr:rowOff>32844</xdr:rowOff>
    </xdr:to>
    <xdr:sp macro="" textlink="">
      <xdr:nvSpPr>
        <xdr:cNvPr id="5" name="Rectangle: Rounded Corners 4">
          <a:extLst>
            <a:ext uri="{FF2B5EF4-FFF2-40B4-BE49-F238E27FC236}">
              <a16:creationId xmlns:a16="http://schemas.microsoft.com/office/drawing/2014/main" id="{4313770C-1C67-4A32-BE21-9F2B6903AA1A}"/>
            </a:ext>
          </a:extLst>
        </xdr:cNvPr>
        <xdr:cNvSpPr/>
      </xdr:nvSpPr>
      <xdr:spPr>
        <a:xfrm>
          <a:off x="2316346" y="3484910"/>
          <a:ext cx="2456097" cy="2689917"/>
        </a:xfrm>
        <a:prstGeom prst="roundRect">
          <a:avLst>
            <a:gd name="adj" fmla="val 608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512684</xdr:colOff>
      <xdr:row>18</xdr:row>
      <xdr:rowOff>104328</xdr:rowOff>
    </xdr:from>
    <xdr:to>
      <xdr:col>11</xdr:col>
      <xdr:colOff>594845</xdr:colOff>
      <xdr:row>33</xdr:row>
      <xdr:rowOff>21896</xdr:rowOff>
    </xdr:to>
    <xdr:sp macro="" textlink="">
      <xdr:nvSpPr>
        <xdr:cNvPr id="6" name="Rectangle: Rounded Corners 5">
          <a:extLst>
            <a:ext uri="{FF2B5EF4-FFF2-40B4-BE49-F238E27FC236}">
              <a16:creationId xmlns:a16="http://schemas.microsoft.com/office/drawing/2014/main" id="{5C6AF924-C8F4-4DDC-9CBE-F339DD29D300}"/>
            </a:ext>
          </a:extLst>
        </xdr:cNvPr>
        <xdr:cNvSpPr/>
      </xdr:nvSpPr>
      <xdr:spPr>
        <a:xfrm>
          <a:off x="4804408" y="3454500"/>
          <a:ext cx="2534575" cy="2709379"/>
        </a:xfrm>
        <a:prstGeom prst="roundRect">
          <a:avLst>
            <a:gd name="adj" fmla="val 608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538137</xdr:colOff>
      <xdr:row>5</xdr:row>
      <xdr:rowOff>43050</xdr:rowOff>
    </xdr:from>
    <xdr:to>
      <xdr:col>12</xdr:col>
      <xdr:colOff>139916</xdr:colOff>
      <xdr:row>18</xdr:row>
      <xdr:rowOff>62290</xdr:rowOff>
    </xdr:to>
    <xdr:sp macro="" textlink="">
      <xdr:nvSpPr>
        <xdr:cNvPr id="7" name="Rectangle: Rounded Corners 6">
          <a:extLst>
            <a:ext uri="{FF2B5EF4-FFF2-40B4-BE49-F238E27FC236}">
              <a16:creationId xmlns:a16="http://schemas.microsoft.com/office/drawing/2014/main" id="{8B1F9A31-6C47-46A4-BB6C-9521DCD3A3B6}"/>
            </a:ext>
          </a:extLst>
        </xdr:cNvPr>
        <xdr:cNvSpPr/>
      </xdr:nvSpPr>
      <xdr:spPr>
        <a:xfrm>
          <a:off x="4832459" y="957881"/>
          <a:ext cx="2669152" cy="2397799"/>
        </a:xfrm>
        <a:prstGeom prst="roundRect">
          <a:avLst>
            <a:gd name="adj" fmla="val 520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485906</xdr:colOff>
      <xdr:row>5</xdr:row>
      <xdr:rowOff>64575</xdr:rowOff>
    </xdr:from>
    <xdr:to>
      <xdr:col>7</xdr:col>
      <xdr:colOff>485597</xdr:colOff>
      <xdr:row>10</xdr:row>
      <xdr:rowOff>181426</xdr:rowOff>
    </xdr:to>
    <xdr:sp macro="" textlink="">
      <xdr:nvSpPr>
        <xdr:cNvPr id="8" name="Rectangle: Rounded Corners 7">
          <a:extLst>
            <a:ext uri="{FF2B5EF4-FFF2-40B4-BE49-F238E27FC236}">
              <a16:creationId xmlns:a16="http://schemas.microsoft.com/office/drawing/2014/main" id="{C4F8AD2F-31D2-48A3-8AAF-64B440F68BB6}"/>
            </a:ext>
          </a:extLst>
        </xdr:cNvPr>
        <xdr:cNvSpPr/>
      </xdr:nvSpPr>
      <xdr:spPr>
        <a:xfrm>
          <a:off x="2326330" y="979406"/>
          <a:ext cx="2453589" cy="1031681"/>
        </a:xfrm>
        <a:prstGeom prst="roundRect">
          <a:avLst>
            <a:gd name="adj" fmla="val 87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477036</xdr:colOff>
      <xdr:row>11</xdr:row>
      <xdr:rowOff>149590</xdr:rowOff>
    </xdr:from>
    <xdr:to>
      <xdr:col>5</xdr:col>
      <xdr:colOff>437512</xdr:colOff>
      <xdr:row>17</xdr:row>
      <xdr:rowOff>141018</xdr:rowOff>
    </xdr:to>
    <xdr:sp macro="" textlink="">
      <xdr:nvSpPr>
        <xdr:cNvPr id="9" name="Rectangle: Rounded Corners 8">
          <a:extLst>
            <a:ext uri="{FF2B5EF4-FFF2-40B4-BE49-F238E27FC236}">
              <a16:creationId xmlns:a16="http://schemas.microsoft.com/office/drawing/2014/main" id="{7CBC6C5A-2E03-404A-9B82-2BFE73F276F0}"/>
            </a:ext>
          </a:extLst>
        </xdr:cNvPr>
        <xdr:cNvSpPr/>
      </xdr:nvSpPr>
      <xdr:spPr>
        <a:xfrm>
          <a:off x="2317460" y="2162217"/>
          <a:ext cx="1187425" cy="1089225"/>
        </a:xfrm>
        <a:prstGeom prst="roundRect">
          <a:avLst>
            <a:gd name="adj" fmla="val 87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508483</xdr:colOff>
      <xdr:row>11</xdr:row>
      <xdr:rowOff>144319</xdr:rowOff>
    </xdr:from>
    <xdr:to>
      <xdr:col>7</xdr:col>
      <xdr:colOff>468960</xdr:colOff>
      <xdr:row>17</xdr:row>
      <xdr:rowOff>152307</xdr:rowOff>
    </xdr:to>
    <xdr:sp macro="" textlink="">
      <xdr:nvSpPr>
        <xdr:cNvPr id="10" name="Rectangle: Rounded Corners 9">
          <a:extLst>
            <a:ext uri="{FF2B5EF4-FFF2-40B4-BE49-F238E27FC236}">
              <a16:creationId xmlns:a16="http://schemas.microsoft.com/office/drawing/2014/main" id="{BA374E9D-A8D7-46EE-8140-ECEE6DA0E4A1}"/>
            </a:ext>
          </a:extLst>
        </xdr:cNvPr>
        <xdr:cNvSpPr/>
      </xdr:nvSpPr>
      <xdr:spPr>
        <a:xfrm>
          <a:off x="3575856" y="2156946"/>
          <a:ext cx="1187426" cy="1105785"/>
        </a:xfrm>
        <a:prstGeom prst="roundRect">
          <a:avLst>
            <a:gd name="adj" fmla="val 87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63373</xdr:colOff>
      <xdr:row>26</xdr:row>
      <xdr:rowOff>6176</xdr:rowOff>
    </xdr:from>
    <xdr:to>
      <xdr:col>14</xdr:col>
      <xdr:colOff>215068</xdr:colOff>
      <xdr:row>33</xdr:row>
      <xdr:rowOff>54741</xdr:rowOff>
    </xdr:to>
    <xdr:sp macro="" textlink="">
      <xdr:nvSpPr>
        <xdr:cNvPr id="11" name="Rectangle: Rounded Corners 10">
          <a:extLst>
            <a:ext uri="{FF2B5EF4-FFF2-40B4-BE49-F238E27FC236}">
              <a16:creationId xmlns:a16="http://schemas.microsoft.com/office/drawing/2014/main" id="{B506B7FA-73A1-43BB-8B97-50E79A832A1B}"/>
            </a:ext>
          </a:extLst>
        </xdr:cNvPr>
        <xdr:cNvSpPr/>
      </xdr:nvSpPr>
      <xdr:spPr>
        <a:xfrm>
          <a:off x="7420614" y="4845314"/>
          <a:ext cx="1377902" cy="1351410"/>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319720</xdr:colOff>
      <xdr:row>25</xdr:row>
      <xdr:rowOff>179106</xdr:rowOff>
    </xdr:from>
    <xdr:to>
      <xdr:col>16</xdr:col>
      <xdr:colOff>471416</xdr:colOff>
      <xdr:row>33</xdr:row>
      <xdr:rowOff>47925</xdr:rowOff>
    </xdr:to>
    <xdr:sp macro="" textlink="">
      <xdr:nvSpPr>
        <xdr:cNvPr id="12" name="Rectangle: Rounded Corners 11">
          <a:extLst>
            <a:ext uri="{FF2B5EF4-FFF2-40B4-BE49-F238E27FC236}">
              <a16:creationId xmlns:a16="http://schemas.microsoft.com/office/drawing/2014/main" id="{D2782C67-CEE6-4D77-8FC5-89613EBA6BF7}"/>
            </a:ext>
          </a:extLst>
        </xdr:cNvPr>
        <xdr:cNvSpPr/>
      </xdr:nvSpPr>
      <xdr:spPr>
        <a:xfrm>
          <a:off x="8874248" y="4672031"/>
          <a:ext cx="1373772" cy="1306554"/>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328686</xdr:colOff>
      <xdr:row>19</xdr:row>
      <xdr:rowOff>32845</xdr:rowOff>
    </xdr:from>
    <xdr:to>
      <xdr:col>16</xdr:col>
      <xdr:colOff>480382</xdr:colOff>
      <xdr:row>25</xdr:row>
      <xdr:rowOff>37673</xdr:rowOff>
    </xdr:to>
    <xdr:sp macro="" textlink="">
      <xdr:nvSpPr>
        <xdr:cNvPr id="13" name="Rectangle: Rounded Corners 12">
          <a:extLst>
            <a:ext uri="{FF2B5EF4-FFF2-40B4-BE49-F238E27FC236}">
              <a16:creationId xmlns:a16="http://schemas.microsoft.com/office/drawing/2014/main" id="{DCEC5417-3B0E-4C98-9502-C36E286C5060}"/>
            </a:ext>
          </a:extLst>
        </xdr:cNvPr>
        <xdr:cNvSpPr/>
      </xdr:nvSpPr>
      <xdr:spPr>
        <a:xfrm>
          <a:off x="8912134" y="3569138"/>
          <a:ext cx="1377903" cy="112155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211667</xdr:colOff>
      <xdr:row>7</xdr:row>
      <xdr:rowOff>65516</xdr:rowOff>
    </xdr:from>
    <xdr:to>
      <xdr:col>16</xdr:col>
      <xdr:colOff>448452</xdr:colOff>
      <xdr:row>16</xdr:row>
      <xdr:rowOff>109483</xdr:rowOff>
    </xdr:to>
    <xdr:sp macro="" textlink="">
      <xdr:nvSpPr>
        <xdr:cNvPr id="15" name="Rectangle: Rounded Corners 14">
          <a:extLst>
            <a:ext uri="{FF2B5EF4-FFF2-40B4-BE49-F238E27FC236}">
              <a16:creationId xmlns:a16="http://schemas.microsoft.com/office/drawing/2014/main" id="{8052BCD4-1838-440F-8F42-D62143AA896A}"/>
            </a:ext>
          </a:extLst>
        </xdr:cNvPr>
        <xdr:cNvSpPr/>
      </xdr:nvSpPr>
      <xdr:spPr>
        <a:xfrm>
          <a:off x="7485303" y="1345137"/>
          <a:ext cx="2661331" cy="1689194"/>
        </a:xfrm>
        <a:prstGeom prst="roundRect">
          <a:avLst>
            <a:gd name="adj" fmla="val 420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254719</xdr:colOff>
      <xdr:row>0</xdr:row>
      <xdr:rowOff>110874</xdr:rowOff>
    </xdr:from>
    <xdr:to>
      <xdr:col>16</xdr:col>
      <xdr:colOff>521271</xdr:colOff>
      <xdr:row>7</xdr:row>
      <xdr:rowOff>9621</xdr:rowOff>
    </xdr:to>
    <xdr:sp macro="" textlink="">
      <xdr:nvSpPr>
        <xdr:cNvPr id="17" name="Rectangle: Rounded Corners 16">
          <a:extLst>
            <a:ext uri="{FF2B5EF4-FFF2-40B4-BE49-F238E27FC236}">
              <a16:creationId xmlns:a16="http://schemas.microsoft.com/office/drawing/2014/main" id="{0E3BEA92-AA44-41C5-8470-920EF4BB41F5}"/>
            </a:ext>
          </a:extLst>
        </xdr:cNvPr>
        <xdr:cNvSpPr/>
      </xdr:nvSpPr>
      <xdr:spPr>
        <a:xfrm>
          <a:off x="7616414" y="110874"/>
          <a:ext cx="2720450" cy="1179510"/>
        </a:xfrm>
        <a:prstGeom prst="roundRect">
          <a:avLst>
            <a:gd name="adj" fmla="val 420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21</xdr:col>
      <xdr:colOff>433413</xdr:colOff>
      <xdr:row>15</xdr:row>
      <xdr:rowOff>171349</xdr:rowOff>
    </xdr:from>
    <xdr:ext cx="184731" cy="264560"/>
    <xdr:sp macro="" textlink="">
      <xdr:nvSpPr>
        <xdr:cNvPr id="19" name="TextBox 18">
          <a:extLst>
            <a:ext uri="{FF2B5EF4-FFF2-40B4-BE49-F238E27FC236}">
              <a16:creationId xmlns:a16="http://schemas.microsoft.com/office/drawing/2014/main" id="{18C66DD8-5108-210E-B74C-E8B0B00F89A6}"/>
            </a:ext>
          </a:extLst>
        </xdr:cNvPr>
        <xdr:cNvSpPr txBox="1"/>
      </xdr:nvSpPr>
      <xdr:spPr>
        <a:xfrm>
          <a:off x="13224127" y="289277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14</xdr:col>
      <xdr:colOff>354515</xdr:colOff>
      <xdr:row>19</xdr:row>
      <xdr:rowOff>42923</xdr:rowOff>
    </xdr:from>
    <xdr:ext cx="807850" cy="609013"/>
    <xdr:sp macro="" textlink="">
      <xdr:nvSpPr>
        <xdr:cNvPr id="20" name="TextBox 19">
          <a:extLst>
            <a:ext uri="{FF2B5EF4-FFF2-40B4-BE49-F238E27FC236}">
              <a16:creationId xmlns:a16="http://schemas.microsoft.com/office/drawing/2014/main" id="{3AD8B250-F342-818D-1216-096DA3240C30}"/>
            </a:ext>
          </a:extLst>
        </xdr:cNvPr>
        <xdr:cNvSpPr txBox="1"/>
      </xdr:nvSpPr>
      <xdr:spPr>
        <a:xfrm>
          <a:off x="8937963" y="3579216"/>
          <a:ext cx="8078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Part</a:t>
          </a:r>
        </a:p>
        <a:p>
          <a:r>
            <a:rPr lang="en-IN" sz="1100">
              <a:solidFill>
                <a:schemeClr val="bg1"/>
              </a:solidFill>
            </a:rPr>
            <a:t>time</a:t>
          </a:r>
        </a:p>
        <a:p>
          <a:r>
            <a:rPr lang="en-IN" sz="1100">
              <a:solidFill>
                <a:schemeClr val="bg1"/>
              </a:solidFill>
            </a:rPr>
            <a:t>employees</a:t>
          </a:r>
        </a:p>
      </xdr:txBody>
    </xdr:sp>
    <xdr:clientData/>
  </xdr:oneCellAnchor>
  <xdr:oneCellAnchor>
    <xdr:from>
      <xdr:col>14</xdr:col>
      <xdr:colOff>343908</xdr:colOff>
      <xdr:row>20</xdr:row>
      <xdr:rowOff>172559</xdr:rowOff>
    </xdr:from>
    <xdr:ext cx="277448" cy="593304"/>
    <xdr:sp macro="" textlink="Dashboard!$C$14">
      <xdr:nvSpPr>
        <xdr:cNvPr id="21" name="TextBox 20">
          <a:extLst>
            <a:ext uri="{FF2B5EF4-FFF2-40B4-BE49-F238E27FC236}">
              <a16:creationId xmlns:a16="http://schemas.microsoft.com/office/drawing/2014/main" id="{B73AB81D-0D54-4FE7-BF9A-5652C82C79DE}"/>
            </a:ext>
          </a:extLst>
        </xdr:cNvPr>
        <xdr:cNvSpPr txBox="1"/>
      </xdr:nvSpPr>
      <xdr:spPr>
        <a:xfrm>
          <a:off x="8810575" y="3801130"/>
          <a:ext cx="277448"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ADD810D-4A13-412A-A8AE-F6693E532B8A}" type="TxLink">
            <a:rPr lang="en-US" sz="3200" b="0" i="0" u="none" strike="noStrike">
              <a:solidFill>
                <a:schemeClr val="bg1"/>
              </a:solidFill>
              <a:latin typeface="Calibri"/>
              <a:ea typeface="Calibri"/>
              <a:cs typeface="Calibri"/>
            </a:rPr>
            <a:pPr/>
            <a:t> </a:t>
          </a:fld>
          <a:endParaRPr lang="en-IN" sz="3200">
            <a:solidFill>
              <a:schemeClr val="bg1"/>
            </a:solidFill>
          </a:endParaRPr>
        </a:p>
      </xdr:txBody>
    </xdr:sp>
    <xdr:clientData/>
  </xdr:oneCellAnchor>
  <xdr:oneCellAnchor>
    <xdr:from>
      <xdr:col>15</xdr:col>
      <xdr:colOff>442887</xdr:colOff>
      <xdr:row>21</xdr:row>
      <xdr:rowOff>166310</xdr:rowOff>
    </xdr:from>
    <xdr:ext cx="600677" cy="593304"/>
    <xdr:sp macro="" textlink="'Pivot Tables'!C14">
      <xdr:nvSpPr>
        <xdr:cNvPr id="22" name="TextBox 21">
          <a:extLst>
            <a:ext uri="{FF2B5EF4-FFF2-40B4-BE49-F238E27FC236}">
              <a16:creationId xmlns:a16="http://schemas.microsoft.com/office/drawing/2014/main" id="{A19C2682-0B09-423E-B9CB-783DE5EB924D}"/>
            </a:ext>
          </a:extLst>
        </xdr:cNvPr>
        <xdr:cNvSpPr txBox="1"/>
      </xdr:nvSpPr>
      <xdr:spPr>
        <a:xfrm>
          <a:off x="9639439" y="4074844"/>
          <a:ext cx="600677"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B3CED3-1877-4090-86C7-B9738C865523}" type="TxLink">
            <a:rPr lang="en-US" sz="3200" b="1" i="0" u="none" strike="noStrike">
              <a:solidFill>
                <a:schemeClr val="bg1"/>
              </a:solidFill>
              <a:latin typeface="Calibri"/>
              <a:ea typeface="Calibri"/>
              <a:cs typeface="Calibri"/>
            </a:rPr>
            <a:pPr/>
            <a:t>13</a:t>
          </a:fld>
          <a:endParaRPr lang="en-IN" sz="3200" b="1">
            <a:solidFill>
              <a:schemeClr val="bg1"/>
            </a:solidFill>
          </a:endParaRPr>
        </a:p>
      </xdr:txBody>
    </xdr:sp>
    <xdr:clientData/>
  </xdr:oneCellAnchor>
  <xdr:oneCellAnchor>
    <xdr:from>
      <xdr:col>14</xdr:col>
      <xdr:colOff>330457</xdr:colOff>
      <xdr:row>25</xdr:row>
      <xdr:rowOff>174450</xdr:rowOff>
    </xdr:from>
    <xdr:ext cx="807850" cy="609013"/>
    <xdr:sp macro="" textlink="">
      <xdr:nvSpPr>
        <xdr:cNvPr id="23" name="TextBox 22">
          <a:extLst>
            <a:ext uri="{FF2B5EF4-FFF2-40B4-BE49-F238E27FC236}">
              <a16:creationId xmlns:a16="http://schemas.microsoft.com/office/drawing/2014/main" id="{5EFF9C82-0DC1-42B1-8C55-D443B81577D2}"/>
            </a:ext>
          </a:extLst>
        </xdr:cNvPr>
        <xdr:cNvSpPr txBox="1"/>
      </xdr:nvSpPr>
      <xdr:spPr>
        <a:xfrm>
          <a:off x="8913905" y="4827467"/>
          <a:ext cx="8078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Full</a:t>
          </a:r>
        </a:p>
        <a:p>
          <a:r>
            <a:rPr lang="en-IN" sz="1100">
              <a:solidFill>
                <a:schemeClr val="bg1"/>
              </a:solidFill>
            </a:rPr>
            <a:t>time</a:t>
          </a:r>
        </a:p>
        <a:p>
          <a:r>
            <a:rPr lang="en-IN" sz="1100">
              <a:solidFill>
                <a:schemeClr val="bg1"/>
              </a:solidFill>
            </a:rPr>
            <a:t>employees</a:t>
          </a:r>
        </a:p>
      </xdr:txBody>
    </xdr:sp>
    <xdr:clientData/>
  </xdr:oneCellAnchor>
  <xdr:oneCellAnchor>
    <xdr:from>
      <xdr:col>15</xdr:col>
      <xdr:colOff>406430</xdr:colOff>
      <xdr:row>29</xdr:row>
      <xdr:rowOff>84272</xdr:rowOff>
    </xdr:from>
    <xdr:ext cx="600677" cy="593304"/>
    <xdr:sp macro="" textlink="'Pivot Tables'!C13">
      <xdr:nvSpPr>
        <xdr:cNvPr id="24" name="TextBox 23">
          <a:extLst>
            <a:ext uri="{FF2B5EF4-FFF2-40B4-BE49-F238E27FC236}">
              <a16:creationId xmlns:a16="http://schemas.microsoft.com/office/drawing/2014/main" id="{E9341585-A305-41E1-8924-F2B389590E76}"/>
            </a:ext>
          </a:extLst>
        </xdr:cNvPr>
        <xdr:cNvSpPr txBox="1"/>
      </xdr:nvSpPr>
      <xdr:spPr>
        <a:xfrm>
          <a:off x="9571996" y="5296064"/>
          <a:ext cx="600677"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1B974D5-1D7B-49CD-95B4-30DFAB0A5D89}" type="TxLink">
            <a:rPr lang="en-US" sz="3200" b="1" i="0" u="none" strike="noStrike">
              <a:solidFill>
                <a:schemeClr val="bg1"/>
              </a:solidFill>
              <a:latin typeface="Calibri"/>
              <a:ea typeface="Calibri"/>
              <a:cs typeface="Calibri"/>
            </a:rPr>
            <a:pPr/>
            <a:t>20</a:t>
          </a:fld>
          <a:endParaRPr lang="en-IN" sz="3200" b="1">
            <a:solidFill>
              <a:schemeClr val="bg1"/>
            </a:solidFill>
          </a:endParaRPr>
        </a:p>
      </xdr:txBody>
    </xdr:sp>
    <xdr:clientData/>
  </xdr:oneCellAnchor>
  <xdr:oneCellAnchor>
    <xdr:from>
      <xdr:col>12</xdr:col>
      <xdr:colOff>95900</xdr:colOff>
      <xdr:row>26</xdr:row>
      <xdr:rowOff>10751</xdr:rowOff>
    </xdr:from>
    <xdr:ext cx="806503" cy="609013"/>
    <xdr:sp macro="" textlink="">
      <xdr:nvSpPr>
        <xdr:cNvPr id="25" name="TextBox 24">
          <a:extLst>
            <a:ext uri="{FF2B5EF4-FFF2-40B4-BE49-F238E27FC236}">
              <a16:creationId xmlns:a16="http://schemas.microsoft.com/office/drawing/2014/main" id="{1A46369C-80BD-4A16-A25C-9EA48FA4114F}"/>
            </a:ext>
          </a:extLst>
        </xdr:cNvPr>
        <xdr:cNvSpPr txBox="1"/>
      </xdr:nvSpPr>
      <xdr:spPr>
        <a:xfrm>
          <a:off x="7453141" y="4849889"/>
          <a:ext cx="80650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Employees</a:t>
          </a:r>
        </a:p>
        <a:p>
          <a:r>
            <a:rPr lang="en-IN" sz="1100">
              <a:solidFill>
                <a:schemeClr val="bg1"/>
              </a:solidFill>
            </a:rPr>
            <a:t>with</a:t>
          </a:r>
        </a:p>
        <a:p>
          <a:r>
            <a:rPr lang="en-IN" sz="1100">
              <a:solidFill>
                <a:schemeClr val="bg1"/>
              </a:solidFill>
            </a:rPr>
            <a:t>contracts</a:t>
          </a:r>
        </a:p>
      </xdr:txBody>
    </xdr:sp>
    <xdr:clientData/>
  </xdr:oneCellAnchor>
  <xdr:oneCellAnchor>
    <xdr:from>
      <xdr:col>13</xdr:col>
      <xdr:colOff>213600</xdr:colOff>
      <xdr:row>29</xdr:row>
      <xdr:rowOff>69718</xdr:rowOff>
    </xdr:from>
    <xdr:ext cx="600677" cy="593304"/>
    <xdr:sp macro="" textlink="'Pivot Tables'!C12">
      <xdr:nvSpPr>
        <xdr:cNvPr id="26" name="TextBox 25">
          <a:extLst>
            <a:ext uri="{FF2B5EF4-FFF2-40B4-BE49-F238E27FC236}">
              <a16:creationId xmlns:a16="http://schemas.microsoft.com/office/drawing/2014/main" id="{480E3A2F-3A39-42F7-9088-9A0177370C87}"/>
            </a:ext>
          </a:extLst>
        </xdr:cNvPr>
        <xdr:cNvSpPr txBox="1"/>
      </xdr:nvSpPr>
      <xdr:spPr>
        <a:xfrm>
          <a:off x="8157091" y="5281510"/>
          <a:ext cx="600677"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A313FD2-51B6-4035-90DA-452568119739}" type="TxLink">
            <a:rPr lang="en-US" sz="3200" b="1" i="0" u="none" strike="noStrike">
              <a:solidFill>
                <a:schemeClr val="bg1"/>
              </a:solidFill>
              <a:latin typeface="Calibri"/>
              <a:ea typeface="Calibri"/>
              <a:cs typeface="Calibri"/>
            </a:rPr>
            <a:pPr marL="0" indent="0"/>
            <a:t>17</a:t>
          </a:fld>
          <a:endParaRPr lang="en-US" sz="3200" b="1" i="0" u="none" strike="noStrike">
            <a:solidFill>
              <a:schemeClr val="bg1"/>
            </a:solidFill>
            <a:latin typeface="Calibri"/>
            <a:ea typeface="Calibri"/>
            <a:cs typeface="Calibri"/>
          </a:endParaRPr>
        </a:p>
      </xdr:txBody>
    </xdr:sp>
    <xdr:clientData/>
  </xdr:oneCellAnchor>
  <xdr:twoCellAnchor>
    <xdr:from>
      <xdr:col>7</xdr:col>
      <xdr:colOff>526769</xdr:colOff>
      <xdr:row>21</xdr:row>
      <xdr:rowOff>175758</xdr:rowOff>
    </xdr:from>
    <xdr:to>
      <xdr:col>9</xdr:col>
      <xdr:colOff>526768</xdr:colOff>
      <xdr:row>23</xdr:row>
      <xdr:rowOff>155597</xdr:rowOff>
    </xdr:to>
    <xdr:sp macro="" textlink="">
      <xdr:nvSpPr>
        <xdr:cNvPr id="27" name="Rectangle: Rounded Corners 26">
          <a:extLst>
            <a:ext uri="{FF2B5EF4-FFF2-40B4-BE49-F238E27FC236}">
              <a16:creationId xmlns:a16="http://schemas.microsoft.com/office/drawing/2014/main" id="{C53953A5-898D-4691-B9E4-AD37E707B6C4}"/>
            </a:ext>
          </a:extLst>
        </xdr:cNvPr>
        <xdr:cNvSpPr/>
      </xdr:nvSpPr>
      <xdr:spPr>
        <a:xfrm>
          <a:off x="4818493" y="4084292"/>
          <a:ext cx="1226206" cy="352081"/>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Salaries</a:t>
          </a:r>
        </a:p>
      </xdr:txBody>
    </xdr:sp>
    <xdr:clientData/>
  </xdr:twoCellAnchor>
  <xdr:twoCellAnchor>
    <xdr:from>
      <xdr:col>7</xdr:col>
      <xdr:colOff>526769</xdr:colOff>
      <xdr:row>23</xdr:row>
      <xdr:rowOff>104838</xdr:rowOff>
    </xdr:from>
    <xdr:to>
      <xdr:col>9</xdr:col>
      <xdr:colOff>526768</xdr:colOff>
      <xdr:row>25</xdr:row>
      <xdr:rowOff>78326</xdr:rowOff>
    </xdr:to>
    <xdr:sp macro="" textlink="">
      <xdr:nvSpPr>
        <xdr:cNvPr id="28" name="Rectangle: Rounded Corners 27">
          <a:extLst>
            <a:ext uri="{FF2B5EF4-FFF2-40B4-BE49-F238E27FC236}">
              <a16:creationId xmlns:a16="http://schemas.microsoft.com/office/drawing/2014/main" id="{3A47979D-FB4C-4761-8500-C41888D620E2}"/>
            </a:ext>
          </a:extLst>
        </xdr:cNvPr>
        <xdr:cNvSpPr/>
      </xdr:nvSpPr>
      <xdr:spPr>
        <a:xfrm>
          <a:off x="4775666" y="4400426"/>
          <a:ext cx="1213970" cy="34701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Managers</a:t>
          </a:r>
        </a:p>
      </xdr:txBody>
    </xdr:sp>
    <xdr:clientData/>
  </xdr:twoCellAnchor>
  <xdr:twoCellAnchor>
    <xdr:from>
      <xdr:col>7</xdr:col>
      <xdr:colOff>526769</xdr:colOff>
      <xdr:row>25</xdr:row>
      <xdr:rowOff>31890</xdr:rowOff>
    </xdr:from>
    <xdr:to>
      <xdr:col>9</xdr:col>
      <xdr:colOff>526768</xdr:colOff>
      <xdr:row>27</xdr:row>
      <xdr:rowOff>11729</xdr:rowOff>
    </xdr:to>
    <xdr:sp macro="" textlink="">
      <xdr:nvSpPr>
        <xdr:cNvPr id="29" name="Rectangle: Rounded Corners 28">
          <a:extLst>
            <a:ext uri="{FF2B5EF4-FFF2-40B4-BE49-F238E27FC236}">
              <a16:creationId xmlns:a16="http://schemas.microsoft.com/office/drawing/2014/main" id="{B21E952A-0CB9-40AD-8375-E9F31EBB23C8}"/>
            </a:ext>
          </a:extLst>
        </xdr:cNvPr>
        <xdr:cNvSpPr/>
      </xdr:nvSpPr>
      <xdr:spPr>
        <a:xfrm>
          <a:off x="4775666" y="4701008"/>
          <a:ext cx="1213970" cy="35336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HR</a:t>
          </a:r>
          <a:r>
            <a:rPr lang="en-IN" sz="1100" b="0" baseline="0"/>
            <a:t> Specialists</a:t>
          </a:r>
          <a:endParaRPr lang="en-IN" sz="1100" b="0"/>
        </a:p>
      </xdr:txBody>
    </xdr:sp>
    <xdr:clientData/>
  </xdr:twoCellAnchor>
  <xdr:twoCellAnchor>
    <xdr:from>
      <xdr:col>7</xdr:col>
      <xdr:colOff>526769</xdr:colOff>
      <xdr:row>26</xdr:row>
      <xdr:rowOff>145064</xdr:rowOff>
    </xdr:from>
    <xdr:to>
      <xdr:col>9</xdr:col>
      <xdr:colOff>526768</xdr:colOff>
      <xdr:row>28</xdr:row>
      <xdr:rowOff>124903</xdr:rowOff>
    </xdr:to>
    <xdr:sp macro="" textlink="">
      <xdr:nvSpPr>
        <xdr:cNvPr id="30" name="Rectangle: Rounded Corners 29">
          <a:extLst>
            <a:ext uri="{FF2B5EF4-FFF2-40B4-BE49-F238E27FC236}">
              <a16:creationId xmlns:a16="http://schemas.microsoft.com/office/drawing/2014/main" id="{EACED61E-1099-40FF-8214-627782CDEF4A}"/>
            </a:ext>
          </a:extLst>
        </xdr:cNvPr>
        <xdr:cNvSpPr/>
      </xdr:nvSpPr>
      <xdr:spPr>
        <a:xfrm>
          <a:off x="4775666" y="5000946"/>
          <a:ext cx="1213970" cy="353369"/>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Developers</a:t>
          </a:r>
        </a:p>
      </xdr:txBody>
    </xdr:sp>
    <xdr:clientData/>
  </xdr:twoCellAnchor>
  <xdr:twoCellAnchor>
    <xdr:from>
      <xdr:col>7</xdr:col>
      <xdr:colOff>526769</xdr:colOff>
      <xdr:row>28</xdr:row>
      <xdr:rowOff>78468</xdr:rowOff>
    </xdr:from>
    <xdr:to>
      <xdr:col>9</xdr:col>
      <xdr:colOff>526768</xdr:colOff>
      <xdr:row>30</xdr:row>
      <xdr:rowOff>58307</xdr:rowOff>
    </xdr:to>
    <xdr:sp macro="" textlink="">
      <xdr:nvSpPr>
        <xdr:cNvPr id="31" name="Rectangle: Rounded Corners 30">
          <a:extLst>
            <a:ext uri="{FF2B5EF4-FFF2-40B4-BE49-F238E27FC236}">
              <a16:creationId xmlns:a16="http://schemas.microsoft.com/office/drawing/2014/main" id="{C79F8B1E-CDD8-4493-9643-9C3E8D9A4A91}"/>
            </a:ext>
          </a:extLst>
        </xdr:cNvPr>
        <xdr:cNvSpPr/>
      </xdr:nvSpPr>
      <xdr:spPr>
        <a:xfrm>
          <a:off x="4775666" y="5307880"/>
          <a:ext cx="1213970" cy="35336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Designers</a:t>
          </a:r>
        </a:p>
      </xdr:txBody>
    </xdr:sp>
    <xdr:clientData/>
  </xdr:twoCellAnchor>
  <xdr:twoCellAnchor>
    <xdr:from>
      <xdr:col>7</xdr:col>
      <xdr:colOff>526769</xdr:colOff>
      <xdr:row>29</xdr:row>
      <xdr:rowOff>170719</xdr:rowOff>
    </xdr:from>
    <xdr:to>
      <xdr:col>9</xdr:col>
      <xdr:colOff>526768</xdr:colOff>
      <xdr:row>31</xdr:row>
      <xdr:rowOff>153276</xdr:rowOff>
    </xdr:to>
    <xdr:sp macro="" textlink="">
      <xdr:nvSpPr>
        <xdr:cNvPr id="32" name="Rectangle: Rounded Corners 31">
          <a:extLst>
            <a:ext uri="{FF2B5EF4-FFF2-40B4-BE49-F238E27FC236}">
              <a16:creationId xmlns:a16="http://schemas.microsoft.com/office/drawing/2014/main" id="{0F56A12E-9656-4EF8-BE74-7C53173E0ADD}"/>
            </a:ext>
          </a:extLst>
        </xdr:cNvPr>
        <xdr:cNvSpPr/>
      </xdr:nvSpPr>
      <xdr:spPr>
        <a:xfrm>
          <a:off x="4818493" y="5568219"/>
          <a:ext cx="1226206" cy="35479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Analysts</a:t>
          </a:r>
        </a:p>
      </xdr:txBody>
    </xdr:sp>
    <xdr:clientData/>
  </xdr:twoCellAnchor>
  <xdr:twoCellAnchor>
    <xdr:from>
      <xdr:col>9</xdr:col>
      <xdr:colOff>555800</xdr:colOff>
      <xdr:row>21</xdr:row>
      <xdr:rowOff>131380</xdr:rowOff>
    </xdr:from>
    <xdr:to>
      <xdr:col>11</xdr:col>
      <xdr:colOff>555799</xdr:colOff>
      <xdr:row>22</xdr:row>
      <xdr:rowOff>162771</xdr:rowOff>
    </xdr:to>
    <xdr:sp macro="" textlink="'Pivot Tables'!F19">
      <xdr:nvSpPr>
        <xdr:cNvPr id="33" name="Rectangle: Rounded Corners 32">
          <a:extLst>
            <a:ext uri="{FF2B5EF4-FFF2-40B4-BE49-F238E27FC236}">
              <a16:creationId xmlns:a16="http://schemas.microsoft.com/office/drawing/2014/main" id="{03128BBE-E5F9-4CA0-94FC-F03C1093F94E}"/>
            </a:ext>
          </a:extLst>
        </xdr:cNvPr>
        <xdr:cNvSpPr/>
      </xdr:nvSpPr>
      <xdr:spPr>
        <a:xfrm>
          <a:off x="6073731" y="4039914"/>
          <a:ext cx="1226206" cy="217512"/>
        </a:xfrm>
        <a:prstGeom prst="roundRect">
          <a:avLst>
            <a:gd name="adj" fmla="val 11510"/>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E923F8EA-D7E9-4280-8692-80C427CCEA13}" type="TxLink">
            <a:rPr lang="en-US" sz="1100">
              <a:solidFill>
                <a:schemeClr val="tx1"/>
              </a:solidFill>
              <a:latin typeface="+mn-lt"/>
              <a:ea typeface="+mn-ea"/>
              <a:cs typeface="+mn-cs"/>
            </a:rPr>
            <a:pPr marL="0" indent="0" algn="l"/>
            <a:t> 31,04,913 </a:t>
          </a:fld>
          <a:endParaRPr lang="en-IN" sz="1100">
            <a:solidFill>
              <a:schemeClr val="tx1"/>
            </a:solidFill>
            <a:latin typeface="+mn-lt"/>
            <a:ea typeface="+mn-ea"/>
            <a:cs typeface="+mn-cs"/>
          </a:endParaRPr>
        </a:p>
      </xdr:txBody>
    </xdr:sp>
    <xdr:clientData/>
  </xdr:twoCellAnchor>
  <xdr:twoCellAnchor>
    <xdr:from>
      <xdr:col>9</xdr:col>
      <xdr:colOff>555800</xdr:colOff>
      <xdr:row>22</xdr:row>
      <xdr:rowOff>162771</xdr:rowOff>
    </xdr:from>
    <xdr:to>
      <xdr:col>11</xdr:col>
      <xdr:colOff>555799</xdr:colOff>
      <xdr:row>24</xdr:row>
      <xdr:rowOff>138286</xdr:rowOff>
    </xdr:to>
    <xdr:sp macro="" textlink="'Pivot Tables'!F18">
      <xdr:nvSpPr>
        <xdr:cNvPr id="34" name="Rectangle: Rounded Corners 33">
          <a:extLst>
            <a:ext uri="{FF2B5EF4-FFF2-40B4-BE49-F238E27FC236}">
              <a16:creationId xmlns:a16="http://schemas.microsoft.com/office/drawing/2014/main" id="{3F488E50-780B-466C-9BFA-5951DD7B8C55}"/>
            </a:ext>
          </a:extLst>
        </xdr:cNvPr>
        <xdr:cNvSpPr/>
      </xdr:nvSpPr>
      <xdr:spPr>
        <a:xfrm>
          <a:off x="6073731" y="4257426"/>
          <a:ext cx="1226206" cy="347757"/>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31250DA0-3288-45B8-B0EB-0905FC667EC2}" type="TxLink">
            <a:rPr lang="en-US" sz="1100" b="0" i="0" u="none" strike="noStrike">
              <a:solidFill>
                <a:schemeClr val="bg1"/>
              </a:solidFill>
              <a:latin typeface="Calibri"/>
              <a:ea typeface="Calibri"/>
              <a:cs typeface="Calibri"/>
            </a:rPr>
            <a:pPr marL="0" indent="0" algn="l"/>
            <a:t> 7,31,170 </a:t>
          </a:fld>
          <a:endParaRPr lang="en-IN" sz="1100" b="0" i="0" u="none" strike="noStrike">
            <a:solidFill>
              <a:schemeClr val="bg1"/>
            </a:solidFill>
            <a:latin typeface="Calibri"/>
            <a:ea typeface="Calibri"/>
            <a:cs typeface="Calibri"/>
          </a:endParaRPr>
        </a:p>
      </xdr:txBody>
    </xdr:sp>
    <xdr:clientData/>
  </xdr:twoCellAnchor>
  <xdr:twoCellAnchor>
    <xdr:from>
      <xdr:col>9</xdr:col>
      <xdr:colOff>555800</xdr:colOff>
      <xdr:row>24</xdr:row>
      <xdr:rowOff>112162</xdr:rowOff>
    </xdr:from>
    <xdr:to>
      <xdr:col>11</xdr:col>
      <xdr:colOff>555799</xdr:colOff>
      <xdr:row>26</xdr:row>
      <xdr:rowOff>92001</xdr:rowOff>
    </xdr:to>
    <xdr:sp macro="" textlink="'Pivot Tables'!F17">
      <xdr:nvSpPr>
        <xdr:cNvPr id="35" name="Rectangle: Rounded Corners 34">
          <a:extLst>
            <a:ext uri="{FF2B5EF4-FFF2-40B4-BE49-F238E27FC236}">
              <a16:creationId xmlns:a16="http://schemas.microsoft.com/office/drawing/2014/main" id="{C7845F9A-BC4C-476E-B079-04C86B6A0283}"/>
            </a:ext>
          </a:extLst>
        </xdr:cNvPr>
        <xdr:cNvSpPr/>
      </xdr:nvSpPr>
      <xdr:spPr>
        <a:xfrm>
          <a:off x="6073731" y="4579059"/>
          <a:ext cx="1226206" cy="352080"/>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31304553-6DE1-4623-88C2-1B6EB0805316}" type="TxLink">
            <a:rPr lang="en-US" sz="1100" b="0" i="0" u="none" strike="noStrike">
              <a:solidFill>
                <a:schemeClr val="bg1"/>
              </a:solidFill>
              <a:latin typeface="Calibri"/>
              <a:ea typeface="Calibri"/>
              <a:cs typeface="Calibri"/>
            </a:rPr>
            <a:pPr marL="0" indent="0" algn="l"/>
            <a:t> 9,59,266 </a:t>
          </a:fld>
          <a:endParaRPr lang="en-IN" sz="1100" b="0" i="0" u="none" strike="noStrike">
            <a:solidFill>
              <a:schemeClr val="bg1"/>
            </a:solidFill>
            <a:latin typeface="Calibri"/>
            <a:ea typeface="Calibri"/>
            <a:cs typeface="Calibri"/>
          </a:endParaRPr>
        </a:p>
      </xdr:txBody>
    </xdr:sp>
    <xdr:clientData/>
  </xdr:twoCellAnchor>
  <xdr:twoCellAnchor>
    <xdr:from>
      <xdr:col>9</xdr:col>
      <xdr:colOff>555800</xdr:colOff>
      <xdr:row>26</xdr:row>
      <xdr:rowOff>65877</xdr:rowOff>
    </xdr:from>
    <xdr:to>
      <xdr:col>11</xdr:col>
      <xdr:colOff>555799</xdr:colOff>
      <xdr:row>28</xdr:row>
      <xdr:rowOff>39366</xdr:rowOff>
    </xdr:to>
    <xdr:sp macro="" textlink="'Pivot Tables'!F16">
      <xdr:nvSpPr>
        <xdr:cNvPr id="36" name="Rectangle: Rounded Corners 35">
          <a:extLst>
            <a:ext uri="{FF2B5EF4-FFF2-40B4-BE49-F238E27FC236}">
              <a16:creationId xmlns:a16="http://schemas.microsoft.com/office/drawing/2014/main" id="{83B1E225-8887-4331-A9F6-8C13C0020B86}"/>
            </a:ext>
          </a:extLst>
        </xdr:cNvPr>
        <xdr:cNvSpPr/>
      </xdr:nvSpPr>
      <xdr:spPr>
        <a:xfrm>
          <a:off x="6073731" y="4905015"/>
          <a:ext cx="1226206" cy="345730"/>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7EF90D78-732E-49A6-AB5D-7BFD3DF3D34A}" type="TxLink">
            <a:rPr lang="en-US" sz="1100" b="0" i="0" u="none" strike="noStrike">
              <a:solidFill>
                <a:schemeClr val="bg1"/>
              </a:solidFill>
              <a:latin typeface="Calibri"/>
              <a:ea typeface="Calibri"/>
              <a:cs typeface="Calibri"/>
            </a:rPr>
            <a:pPr marL="0" indent="0" algn="l"/>
            <a:t> 6,33,594 </a:t>
          </a:fld>
          <a:endParaRPr lang="en-IN" sz="1100" b="0" i="0" u="none" strike="noStrike">
            <a:solidFill>
              <a:schemeClr val="bg1"/>
            </a:solidFill>
            <a:latin typeface="Calibri"/>
            <a:ea typeface="Calibri"/>
            <a:cs typeface="Calibri"/>
          </a:endParaRPr>
        </a:p>
      </xdr:txBody>
    </xdr:sp>
    <xdr:clientData/>
  </xdr:twoCellAnchor>
  <xdr:twoCellAnchor>
    <xdr:from>
      <xdr:col>9</xdr:col>
      <xdr:colOff>555800</xdr:colOff>
      <xdr:row>28</xdr:row>
      <xdr:rowOff>13242</xdr:rowOff>
    </xdr:from>
    <xdr:to>
      <xdr:col>11</xdr:col>
      <xdr:colOff>555799</xdr:colOff>
      <xdr:row>29</xdr:row>
      <xdr:rowOff>179202</xdr:rowOff>
    </xdr:to>
    <xdr:sp macro="" textlink="'Pivot Tables'!F15">
      <xdr:nvSpPr>
        <xdr:cNvPr id="37" name="Rectangle: Rounded Corners 36">
          <a:extLst>
            <a:ext uri="{FF2B5EF4-FFF2-40B4-BE49-F238E27FC236}">
              <a16:creationId xmlns:a16="http://schemas.microsoft.com/office/drawing/2014/main" id="{DA982683-20B1-4A5E-9CC8-6D1A71025496}"/>
            </a:ext>
          </a:extLst>
        </xdr:cNvPr>
        <xdr:cNvSpPr/>
      </xdr:nvSpPr>
      <xdr:spPr>
        <a:xfrm>
          <a:off x="6073731" y="5224621"/>
          <a:ext cx="1226206" cy="352081"/>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C0D1A356-AEAD-49CF-84E2-86BAA3864F1D}" type="TxLink">
            <a:rPr lang="en-US" sz="1100" b="0" i="0" u="none" strike="noStrike">
              <a:solidFill>
                <a:schemeClr val="bg1"/>
              </a:solidFill>
              <a:latin typeface="Calibri"/>
              <a:ea typeface="Calibri"/>
              <a:cs typeface="Calibri"/>
            </a:rPr>
            <a:pPr marL="0" indent="0" algn="l"/>
            <a:t> 6,13,842 </a:t>
          </a:fld>
          <a:endParaRPr lang="en-IN" sz="1100" b="0" i="0" u="none" strike="noStrike">
            <a:solidFill>
              <a:schemeClr val="bg1"/>
            </a:solidFill>
            <a:latin typeface="Calibri"/>
            <a:ea typeface="Calibri"/>
            <a:cs typeface="Calibri"/>
          </a:endParaRPr>
        </a:p>
      </xdr:txBody>
    </xdr:sp>
    <xdr:clientData/>
  </xdr:twoCellAnchor>
  <xdr:twoCellAnchor>
    <xdr:from>
      <xdr:col>9</xdr:col>
      <xdr:colOff>555800</xdr:colOff>
      <xdr:row>29</xdr:row>
      <xdr:rowOff>153080</xdr:rowOff>
    </xdr:from>
    <xdr:to>
      <xdr:col>11</xdr:col>
      <xdr:colOff>555799</xdr:colOff>
      <xdr:row>32</xdr:row>
      <xdr:rowOff>10948</xdr:rowOff>
    </xdr:to>
    <xdr:sp macro="" textlink="'Pivot Tables'!F14">
      <xdr:nvSpPr>
        <xdr:cNvPr id="40" name="Rectangle: Rounded Corners 39">
          <a:extLst>
            <a:ext uri="{FF2B5EF4-FFF2-40B4-BE49-F238E27FC236}">
              <a16:creationId xmlns:a16="http://schemas.microsoft.com/office/drawing/2014/main" id="{E9DF650C-B88B-4BF0-AD2F-FDF3AFC22EC6}"/>
            </a:ext>
          </a:extLst>
        </xdr:cNvPr>
        <xdr:cNvSpPr/>
      </xdr:nvSpPr>
      <xdr:spPr>
        <a:xfrm>
          <a:off x="6073731" y="5550580"/>
          <a:ext cx="1226206" cy="416230"/>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72671559-991B-437B-B9B1-F0F5FCA1D4DD}" type="TxLink">
            <a:rPr lang="en-US" sz="1100" b="0" i="0" u="none" strike="noStrike">
              <a:solidFill>
                <a:schemeClr val="bg1"/>
              </a:solidFill>
              <a:latin typeface="Calibri"/>
              <a:ea typeface="Calibri"/>
              <a:cs typeface="Calibri"/>
            </a:rPr>
            <a:pPr marL="0" indent="0" algn="l"/>
            <a:t> 1,67,041 </a:t>
          </a:fld>
          <a:endParaRPr lang="en-IN" sz="1100" b="0" i="0" u="none" strike="noStrike">
            <a:solidFill>
              <a:schemeClr val="bg1"/>
            </a:solidFill>
            <a:latin typeface="Calibri"/>
            <a:ea typeface="Calibri"/>
            <a:cs typeface="Calibri"/>
          </a:endParaRPr>
        </a:p>
      </xdr:txBody>
    </xdr:sp>
    <xdr:clientData/>
  </xdr:twoCellAnchor>
  <xdr:twoCellAnchor>
    <xdr:from>
      <xdr:col>8</xdr:col>
      <xdr:colOff>1658</xdr:colOff>
      <xdr:row>20</xdr:row>
      <xdr:rowOff>24219</xdr:rowOff>
    </xdr:from>
    <xdr:to>
      <xdr:col>11</xdr:col>
      <xdr:colOff>81874</xdr:colOff>
      <xdr:row>21</xdr:row>
      <xdr:rowOff>131380</xdr:rowOff>
    </xdr:to>
    <xdr:sp macro="" textlink="">
      <xdr:nvSpPr>
        <xdr:cNvPr id="14" name="Rectangle: Rounded Corners 13">
          <a:extLst>
            <a:ext uri="{FF2B5EF4-FFF2-40B4-BE49-F238E27FC236}">
              <a16:creationId xmlns:a16="http://schemas.microsoft.com/office/drawing/2014/main" id="{C08A46D8-3C99-459B-942B-DFD5084EE95C}"/>
            </a:ext>
          </a:extLst>
        </xdr:cNvPr>
        <xdr:cNvSpPr/>
      </xdr:nvSpPr>
      <xdr:spPr>
        <a:xfrm>
          <a:off x="4857540" y="3759513"/>
          <a:ext cx="1901172" cy="293926"/>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tx1">
                  <a:lumMod val="50000"/>
                  <a:lumOff val="50000"/>
                </a:schemeClr>
              </a:solidFill>
            </a:rPr>
            <a:t>Salary</a:t>
          </a:r>
          <a:r>
            <a:rPr lang="en-IN" sz="1200" b="0" baseline="0">
              <a:solidFill>
                <a:schemeClr val="tx1">
                  <a:lumMod val="50000"/>
                  <a:lumOff val="50000"/>
                </a:schemeClr>
              </a:solidFill>
            </a:rPr>
            <a:t> amount by job  titels</a:t>
          </a:r>
          <a:endParaRPr lang="en-IN" sz="1200" b="0">
            <a:solidFill>
              <a:schemeClr val="tx1">
                <a:lumMod val="50000"/>
                <a:lumOff val="50000"/>
              </a:schemeClr>
            </a:solidFill>
          </a:endParaRPr>
        </a:p>
      </xdr:txBody>
    </xdr:sp>
    <xdr:clientData/>
  </xdr:twoCellAnchor>
  <xdr:twoCellAnchor>
    <xdr:from>
      <xdr:col>8</xdr:col>
      <xdr:colOff>0</xdr:colOff>
      <xdr:row>18</xdr:row>
      <xdr:rowOff>141341</xdr:rowOff>
    </xdr:from>
    <xdr:to>
      <xdr:col>9</xdr:col>
      <xdr:colOff>596515</xdr:colOff>
      <xdr:row>20</xdr:row>
      <xdr:rowOff>28863</xdr:rowOff>
    </xdr:to>
    <xdr:sp macro="" textlink="">
      <xdr:nvSpPr>
        <xdr:cNvPr id="18" name="Rectangle: Rounded Corners 17">
          <a:extLst>
            <a:ext uri="{FF2B5EF4-FFF2-40B4-BE49-F238E27FC236}">
              <a16:creationId xmlns:a16="http://schemas.microsoft.com/office/drawing/2014/main" id="{F4E9801B-9DA1-4231-A802-F9666A7C9854}"/>
            </a:ext>
          </a:extLst>
        </xdr:cNvPr>
        <xdr:cNvSpPr/>
      </xdr:nvSpPr>
      <xdr:spPr>
        <a:xfrm>
          <a:off x="4849091" y="3431796"/>
          <a:ext cx="1202651" cy="25312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4"/>
              </a:solidFill>
            </a:rPr>
            <a:t>Salaries</a:t>
          </a:r>
          <a:endParaRPr lang="en-IN" sz="1100" b="1">
            <a:solidFill>
              <a:schemeClr val="accent4"/>
            </a:solidFill>
          </a:endParaRPr>
        </a:p>
      </xdr:txBody>
    </xdr:sp>
    <xdr:clientData/>
  </xdr:twoCellAnchor>
  <xdr:twoCellAnchor>
    <xdr:from>
      <xdr:col>12</xdr:col>
      <xdr:colOff>320978</xdr:colOff>
      <xdr:row>16</xdr:row>
      <xdr:rowOff>155933</xdr:rowOff>
    </xdr:from>
    <xdr:to>
      <xdr:col>16</xdr:col>
      <xdr:colOff>430461</xdr:colOff>
      <xdr:row>18</xdr:row>
      <xdr:rowOff>134739</xdr:rowOff>
    </xdr:to>
    <xdr:sp macro="" textlink="">
      <xdr:nvSpPr>
        <xdr:cNvPr id="39" name="Rectangle: Rounded Corners 38">
          <a:extLst>
            <a:ext uri="{FF2B5EF4-FFF2-40B4-BE49-F238E27FC236}">
              <a16:creationId xmlns:a16="http://schemas.microsoft.com/office/drawing/2014/main" id="{5D943BEF-EA75-4CE8-87D9-B7F624D1B3EB}"/>
            </a:ext>
          </a:extLst>
        </xdr:cNvPr>
        <xdr:cNvSpPr/>
      </xdr:nvSpPr>
      <xdr:spPr>
        <a:xfrm>
          <a:off x="7678219" y="3133864"/>
          <a:ext cx="2561897" cy="351047"/>
        </a:xfrm>
        <a:prstGeom prst="roundRect">
          <a:avLst>
            <a:gd name="adj" fmla="val 1151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4"/>
              </a:solidFill>
            </a:rPr>
            <a:t>Employment</a:t>
          </a:r>
          <a:r>
            <a:rPr lang="en-IN" sz="1400" b="1" baseline="0">
              <a:solidFill>
                <a:schemeClr val="accent4"/>
              </a:solidFill>
            </a:rPr>
            <a:t> Status Breakdown</a:t>
          </a:r>
          <a:endParaRPr lang="en-IN" sz="1400" b="1">
            <a:solidFill>
              <a:schemeClr val="accent4"/>
            </a:solidFill>
          </a:endParaRPr>
        </a:p>
      </xdr:txBody>
    </xdr:sp>
    <xdr:clientData/>
  </xdr:twoCellAnchor>
  <xdr:twoCellAnchor>
    <xdr:from>
      <xdr:col>12</xdr:col>
      <xdr:colOff>95900</xdr:colOff>
      <xdr:row>18</xdr:row>
      <xdr:rowOff>104329</xdr:rowOff>
    </xdr:from>
    <xdr:to>
      <xdr:col>14</xdr:col>
      <xdr:colOff>319720</xdr:colOff>
      <xdr:row>25</xdr:row>
      <xdr:rowOff>78326</xdr:rowOff>
    </xdr:to>
    <xdr:graphicFrame macro="">
      <xdr:nvGraphicFramePr>
        <xdr:cNvPr id="42" name="Chart 41">
          <a:extLst>
            <a:ext uri="{FF2B5EF4-FFF2-40B4-BE49-F238E27FC236}">
              <a16:creationId xmlns:a16="http://schemas.microsoft.com/office/drawing/2014/main" id="{37DAE671-D3B6-4121-BE4D-C9DE77A96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223623</xdr:colOff>
      <xdr:row>19</xdr:row>
      <xdr:rowOff>72498</xdr:rowOff>
    </xdr:from>
    <xdr:to>
      <xdr:col>16</xdr:col>
      <xdr:colOff>382023</xdr:colOff>
      <xdr:row>20</xdr:row>
      <xdr:rowOff>44777</xdr:rowOff>
    </xdr:to>
    <xdr:sp macro="" textlink="">
      <xdr:nvSpPr>
        <xdr:cNvPr id="43" name="Oval 42">
          <a:extLst>
            <a:ext uri="{FF2B5EF4-FFF2-40B4-BE49-F238E27FC236}">
              <a16:creationId xmlns:a16="http://schemas.microsoft.com/office/drawing/2014/main" id="{8C82D022-8180-C259-5F1D-E049683BBF99}"/>
            </a:ext>
          </a:extLst>
        </xdr:cNvPr>
        <xdr:cNvSpPr/>
      </xdr:nvSpPr>
      <xdr:spPr>
        <a:xfrm>
          <a:off x="10033278" y="3608791"/>
          <a:ext cx="158400" cy="158400"/>
        </a:xfrm>
        <a:prstGeom prst="ellipse">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217623</xdr:colOff>
      <xdr:row>26</xdr:row>
      <xdr:rowOff>39450</xdr:rowOff>
    </xdr:from>
    <xdr:to>
      <xdr:col>16</xdr:col>
      <xdr:colOff>376023</xdr:colOff>
      <xdr:row>27</xdr:row>
      <xdr:rowOff>11729</xdr:rowOff>
    </xdr:to>
    <xdr:sp macro="" textlink="">
      <xdr:nvSpPr>
        <xdr:cNvPr id="44" name="Oval 43">
          <a:extLst>
            <a:ext uri="{FF2B5EF4-FFF2-40B4-BE49-F238E27FC236}">
              <a16:creationId xmlns:a16="http://schemas.microsoft.com/office/drawing/2014/main" id="{CCEAC31F-EEB4-426C-A7DE-C6C70BA2B2FA}"/>
            </a:ext>
          </a:extLst>
        </xdr:cNvPr>
        <xdr:cNvSpPr/>
      </xdr:nvSpPr>
      <xdr:spPr>
        <a:xfrm>
          <a:off x="10027278" y="4878588"/>
          <a:ext cx="158400" cy="158400"/>
        </a:xfrm>
        <a:prstGeom prst="ellipse">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601727</xdr:colOff>
      <xdr:row>26</xdr:row>
      <xdr:rowOff>65877</xdr:rowOff>
    </xdr:from>
    <xdr:to>
      <xdr:col>14</xdr:col>
      <xdr:colOff>147024</xdr:colOff>
      <xdr:row>27</xdr:row>
      <xdr:rowOff>38156</xdr:rowOff>
    </xdr:to>
    <xdr:sp macro="" textlink="">
      <xdr:nvSpPr>
        <xdr:cNvPr id="45" name="Oval 44">
          <a:extLst>
            <a:ext uri="{FF2B5EF4-FFF2-40B4-BE49-F238E27FC236}">
              <a16:creationId xmlns:a16="http://schemas.microsoft.com/office/drawing/2014/main" id="{70AC456C-2719-4557-BEBB-11F2BED6C741}"/>
            </a:ext>
          </a:extLst>
        </xdr:cNvPr>
        <xdr:cNvSpPr/>
      </xdr:nvSpPr>
      <xdr:spPr>
        <a:xfrm>
          <a:off x="8572072" y="4905015"/>
          <a:ext cx="158400" cy="158400"/>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490784</xdr:colOff>
      <xdr:row>23</xdr:row>
      <xdr:rowOff>104838</xdr:rowOff>
    </xdr:from>
    <xdr:to>
      <xdr:col>7</xdr:col>
      <xdr:colOff>468960</xdr:colOff>
      <xdr:row>32</xdr:row>
      <xdr:rowOff>65690</xdr:rowOff>
    </xdr:to>
    <xdr:graphicFrame macro="">
      <xdr:nvGraphicFramePr>
        <xdr:cNvPr id="46" name="Chart 45">
          <a:extLst>
            <a:ext uri="{FF2B5EF4-FFF2-40B4-BE49-F238E27FC236}">
              <a16:creationId xmlns:a16="http://schemas.microsoft.com/office/drawing/2014/main" id="{F267D508-9A63-4050-AA51-4D62C306E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477036</xdr:colOff>
      <xdr:row>19</xdr:row>
      <xdr:rowOff>174303</xdr:rowOff>
    </xdr:from>
    <xdr:to>
      <xdr:col>7</xdr:col>
      <xdr:colOff>455212</xdr:colOff>
      <xdr:row>23</xdr:row>
      <xdr:rowOff>78455</xdr:rowOff>
    </xdr:to>
    <xdr:sp macro="" textlink="">
      <xdr:nvSpPr>
        <xdr:cNvPr id="47" name="Rectangle: Rounded Corners 46">
          <a:extLst>
            <a:ext uri="{FF2B5EF4-FFF2-40B4-BE49-F238E27FC236}">
              <a16:creationId xmlns:a16="http://schemas.microsoft.com/office/drawing/2014/main" id="{ED18485C-BA71-40C3-BDED-3910BBC7A0B5}"/>
            </a:ext>
          </a:extLst>
        </xdr:cNvPr>
        <xdr:cNvSpPr/>
      </xdr:nvSpPr>
      <xdr:spPr>
        <a:xfrm>
          <a:off x="2316346" y="3710596"/>
          <a:ext cx="2430590" cy="648635"/>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a:solidFill>
                <a:schemeClr val="tx1">
                  <a:lumMod val="50000"/>
                  <a:lumOff val="50000"/>
                </a:schemeClr>
              </a:solidFill>
            </a:rPr>
            <a:t>No.</a:t>
          </a:r>
          <a:r>
            <a:rPr lang="en-IN" sz="1000" b="0" baseline="0">
              <a:solidFill>
                <a:schemeClr val="tx1">
                  <a:lumMod val="50000"/>
                  <a:lumOff val="50000"/>
                </a:schemeClr>
              </a:solidFill>
            </a:rPr>
            <a:t> of employees according to age ranges and genders</a:t>
          </a:r>
          <a:endParaRPr lang="en-IN" sz="1000" b="0">
            <a:solidFill>
              <a:schemeClr val="tx1">
                <a:lumMod val="50000"/>
                <a:lumOff val="50000"/>
              </a:schemeClr>
            </a:solidFill>
          </a:endParaRPr>
        </a:p>
      </xdr:txBody>
    </xdr:sp>
    <xdr:clientData/>
  </xdr:twoCellAnchor>
  <xdr:twoCellAnchor>
    <xdr:from>
      <xdr:col>3</xdr:col>
      <xdr:colOff>477036</xdr:colOff>
      <xdr:row>18</xdr:row>
      <xdr:rowOff>132020</xdr:rowOff>
    </xdr:from>
    <xdr:to>
      <xdr:col>5</xdr:col>
      <xdr:colOff>508628</xdr:colOff>
      <xdr:row>20</xdr:row>
      <xdr:rowOff>72468</xdr:rowOff>
    </xdr:to>
    <xdr:sp macro="" textlink="">
      <xdr:nvSpPr>
        <xdr:cNvPr id="48" name="Rectangle: Rounded Corners 47">
          <a:extLst>
            <a:ext uri="{FF2B5EF4-FFF2-40B4-BE49-F238E27FC236}">
              <a16:creationId xmlns:a16="http://schemas.microsoft.com/office/drawing/2014/main" id="{4F813BC8-EEA5-42B3-9C66-46DC73A4A820}"/>
            </a:ext>
          </a:extLst>
        </xdr:cNvPr>
        <xdr:cNvSpPr/>
      </xdr:nvSpPr>
      <xdr:spPr>
        <a:xfrm>
          <a:off x="2316346" y="3482192"/>
          <a:ext cx="1257799" cy="312690"/>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4"/>
              </a:solidFill>
            </a:rPr>
            <a:t>Age</a:t>
          </a:r>
          <a:r>
            <a:rPr lang="en-IN" sz="1400" b="1" baseline="0">
              <a:solidFill>
                <a:schemeClr val="accent4"/>
              </a:solidFill>
            </a:rPr>
            <a:t> Range</a:t>
          </a:r>
          <a:endParaRPr lang="en-IN" sz="1100" b="1">
            <a:solidFill>
              <a:schemeClr val="accent4"/>
            </a:solidFill>
          </a:endParaRPr>
        </a:p>
      </xdr:txBody>
    </xdr:sp>
    <xdr:clientData/>
  </xdr:twoCellAnchor>
  <xdr:twoCellAnchor>
    <xdr:from>
      <xdr:col>6</xdr:col>
      <xdr:colOff>534118</xdr:colOff>
      <xdr:row>21</xdr:row>
      <xdr:rowOff>43984</xdr:rowOff>
    </xdr:from>
    <xdr:to>
      <xdr:col>7</xdr:col>
      <xdr:colOff>480719</xdr:colOff>
      <xdr:row>23</xdr:row>
      <xdr:rowOff>66702</xdr:rowOff>
    </xdr:to>
    <xdr:sp macro="" textlink="">
      <xdr:nvSpPr>
        <xdr:cNvPr id="55" name="Rectangle: Rounded Corners 54">
          <a:extLst>
            <a:ext uri="{FF2B5EF4-FFF2-40B4-BE49-F238E27FC236}">
              <a16:creationId xmlns:a16="http://schemas.microsoft.com/office/drawing/2014/main" id="{A1BD8348-5130-4556-81B8-BB0125F333B9}"/>
            </a:ext>
          </a:extLst>
        </xdr:cNvPr>
        <xdr:cNvSpPr/>
      </xdr:nvSpPr>
      <xdr:spPr>
        <a:xfrm>
          <a:off x="4214965" y="3886272"/>
          <a:ext cx="560076" cy="388650"/>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0"/>
            <a:t>Males</a:t>
          </a:r>
        </a:p>
      </xdr:txBody>
    </xdr:sp>
    <xdr:clientData/>
  </xdr:twoCellAnchor>
  <xdr:twoCellAnchor>
    <xdr:from>
      <xdr:col>6</xdr:col>
      <xdr:colOff>482805</xdr:colOff>
      <xdr:row>21</xdr:row>
      <xdr:rowOff>81675</xdr:rowOff>
    </xdr:from>
    <xdr:to>
      <xdr:col>6</xdr:col>
      <xdr:colOff>601605</xdr:colOff>
      <xdr:row>22</xdr:row>
      <xdr:rowOff>17509</xdr:rowOff>
    </xdr:to>
    <xdr:sp macro="" textlink="">
      <xdr:nvSpPr>
        <xdr:cNvPr id="56" name="Oval 55">
          <a:extLst>
            <a:ext uri="{FF2B5EF4-FFF2-40B4-BE49-F238E27FC236}">
              <a16:creationId xmlns:a16="http://schemas.microsoft.com/office/drawing/2014/main" id="{BBA8373A-E71E-46C5-9265-9B4BFC9C5251}"/>
            </a:ext>
          </a:extLst>
        </xdr:cNvPr>
        <xdr:cNvSpPr/>
      </xdr:nvSpPr>
      <xdr:spPr>
        <a:xfrm>
          <a:off x="4163652" y="3923963"/>
          <a:ext cx="118800" cy="1188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xdr:clientData/>
  </xdr:twoCellAnchor>
  <xdr:twoCellAnchor>
    <xdr:from>
      <xdr:col>5</xdr:col>
      <xdr:colOff>456673</xdr:colOff>
      <xdr:row>21</xdr:row>
      <xdr:rowOff>43984</xdr:rowOff>
    </xdr:from>
    <xdr:to>
      <xdr:col>6</xdr:col>
      <xdr:colOff>482805</xdr:colOff>
      <xdr:row>22</xdr:row>
      <xdr:rowOff>162772</xdr:rowOff>
    </xdr:to>
    <xdr:sp macro="" textlink="">
      <xdr:nvSpPr>
        <xdr:cNvPr id="57" name="Rectangle: Rounded Corners 56">
          <a:extLst>
            <a:ext uri="{FF2B5EF4-FFF2-40B4-BE49-F238E27FC236}">
              <a16:creationId xmlns:a16="http://schemas.microsoft.com/office/drawing/2014/main" id="{92D9B00C-214E-4DD4-B2AC-D152EE33C99B}"/>
            </a:ext>
          </a:extLst>
        </xdr:cNvPr>
        <xdr:cNvSpPr/>
      </xdr:nvSpPr>
      <xdr:spPr>
        <a:xfrm>
          <a:off x="3524046" y="3886272"/>
          <a:ext cx="639606" cy="301754"/>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0"/>
            <a:t>Females</a:t>
          </a:r>
        </a:p>
      </xdr:txBody>
    </xdr:sp>
    <xdr:clientData/>
  </xdr:twoCellAnchor>
  <xdr:twoCellAnchor>
    <xdr:from>
      <xdr:col>5</xdr:col>
      <xdr:colOff>389956</xdr:colOff>
      <xdr:row>21</xdr:row>
      <xdr:rowOff>81675</xdr:rowOff>
    </xdr:from>
    <xdr:to>
      <xdr:col>5</xdr:col>
      <xdr:colOff>508756</xdr:colOff>
      <xdr:row>22</xdr:row>
      <xdr:rowOff>17509</xdr:rowOff>
    </xdr:to>
    <xdr:sp macro="" textlink="">
      <xdr:nvSpPr>
        <xdr:cNvPr id="58" name="Oval 57">
          <a:extLst>
            <a:ext uri="{FF2B5EF4-FFF2-40B4-BE49-F238E27FC236}">
              <a16:creationId xmlns:a16="http://schemas.microsoft.com/office/drawing/2014/main" id="{05FC590F-8833-4BC5-9B8B-712F822697C3}"/>
            </a:ext>
          </a:extLst>
        </xdr:cNvPr>
        <xdr:cNvSpPr/>
      </xdr:nvSpPr>
      <xdr:spPr>
        <a:xfrm>
          <a:off x="3457329" y="3923963"/>
          <a:ext cx="118800" cy="118800"/>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209142</xdr:colOff>
      <xdr:row>24</xdr:row>
      <xdr:rowOff>165588</xdr:rowOff>
    </xdr:from>
    <xdr:to>
      <xdr:col>2</xdr:col>
      <xdr:colOff>209141</xdr:colOff>
      <xdr:row>27</xdr:row>
      <xdr:rowOff>160812</xdr:rowOff>
    </xdr:to>
    <xdr:graphicFrame macro="">
      <xdr:nvGraphicFramePr>
        <xdr:cNvPr id="64" name="Chart 63">
          <a:extLst>
            <a:ext uri="{FF2B5EF4-FFF2-40B4-BE49-F238E27FC236}">
              <a16:creationId xmlns:a16="http://schemas.microsoft.com/office/drawing/2014/main" id="{E8B2EF8E-0066-4C4D-A3C8-6A59ACBC8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223133</xdr:colOff>
      <xdr:row>27</xdr:row>
      <xdr:rowOff>50393</xdr:rowOff>
    </xdr:from>
    <xdr:to>
      <xdr:col>2</xdr:col>
      <xdr:colOff>223133</xdr:colOff>
      <xdr:row>30</xdr:row>
      <xdr:rowOff>96970</xdr:rowOff>
    </xdr:to>
    <xdr:graphicFrame macro="">
      <xdr:nvGraphicFramePr>
        <xdr:cNvPr id="65" name="Chart 64">
          <a:extLst>
            <a:ext uri="{FF2B5EF4-FFF2-40B4-BE49-F238E27FC236}">
              <a16:creationId xmlns:a16="http://schemas.microsoft.com/office/drawing/2014/main" id="{055A44C4-CFC0-44D4-BC4E-9378CF43C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229421</xdr:colOff>
      <xdr:row>30</xdr:row>
      <xdr:rowOff>58306</xdr:rowOff>
    </xdr:from>
    <xdr:to>
      <xdr:col>2</xdr:col>
      <xdr:colOff>229420</xdr:colOff>
      <xdr:row>33</xdr:row>
      <xdr:rowOff>86655</xdr:rowOff>
    </xdr:to>
    <xdr:graphicFrame macro="">
      <xdr:nvGraphicFramePr>
        <xdr:cNvPr id="66" name="Chart 65">
          <a:extLst>
            <a:ext uri="{FF2B5EF4-FFF2-40B4-BE49-F238E27FC236}">
              <a16:creationId xmlns:a16="http://schemas.microsoft.com/office/drawing/2014/main" id="{018D362A-5149-43F9-B685-11AF2F8CF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216462</xdr:colOff>
      <xdr:row>24</xdr:row>
      <xdr:rowOff>40653</xdr:rowOff>
    </xdr:from>
    <xdr:to>
      <xdr:col>2</xdr:col>
      <xdr:colOff>216461</xdr:colOff>
      <xdr:row>25</xdr:row>
      <xdr:rowOff>78326</xdr:rowOff>
    </xdr:to>
    <xdr:sp macro="" textlink="">
      <xdr:nvSpPr>
        <xdr:cNvPr id="70" name="Rectangle: Rounded Corners 69">
          <a:extLst>
            <a:ext uri="{FF2B5EF4-FFF2-40B4-BE49-F238E27FC236}">
              <a16:creationId xmlns:a16="http://schemas.microsoft.com/office/drawing/2014/main" id="{78527891-496E-48E5-8ABA-3274F547A750}"/>
            </a:ext>
          </a:extLst>
        </xdr:cNvPr>
        <xdr:cNvSpPr/>
      </xdr:nvSpPr>
      <xdr:spPr>
        <a:xfrm>
          <a:off x="216462" y="4394939"/>
          <a:ext cx="1218162" cy="219101"/>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0"/>
            <a:t>Branch</a:t>
          </a:r>
          <a:r>
            <a:rPr lang="en-IN" sz="1050" b="0" baseline="0"/>
            <a:t> Office</a:t>
          </a:r>
          <a:endParaRPr lang="en-IN" sz="1050" b="0"/>
        </a:p>
      </xdr:txBody>
    </xdr:sp>
    <xdr:clientData/>
  </xdr:twoCellAnchor>
  <xdr:twoCellAnchor>
    <xdr:from>
      <xdr:col>0</xdr:col>
      <xdr:colOff>223133</xdr:colOff>
      <xdr:row>26</xdr:row>
      <xdr:rowOff>129540</xdr:rowOff>
    </xdr:from>
    <xdr:to>
      <xdr:col>2</xdr:col>
      <xdr:colOff>223132</xdr:colOff>
      <xdr:row>28</xdr:row>
      <xdr:rowOff>39366</xdr:rowOff>
    </xdr:to>
    <xdr:sp macro="" textlink="">
      <xdr:nvSpPr>
        <xdr:cNvPr id="71" name="Rectangle: Rounded Corners 70">
          <a:extLst>
            <a:ext uri="{FF2B5EF4-FFF2-40B4-BE49-F238E27FC236}">
              <a16:creationId xmlns:a16="http://schemas.microsoft.com/office/drawing/2014/main" id="{9C2C4389-1C26-452C-9995-DE87AAB2C0EF}"/>
            </a:ext>
          </a:extLst>
        </xdr:cNvPr>
        <xdr:cNvSpPr/>
      </xdr:nvSpPr>
      <xdr:spPr>
        <a:xfrm>
          <a:off x="223133" y="4846683"/>
          <a:ext cx="1218162" cy="272683"/>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0"/>
            <a:t>Head</a:t>
          </a:r>
          <a:r>
            <a:rPr lang="en-IN" sz="1050" b="0" baseline="0"/>
            <a:t> Office</a:t>
          </a:r>
          <a:endParaRPr lang="en-IN" sz="1050" b="0"/>
        </a:p>
      </xdr:txBody>
    </xdr:sp>
    <xdr:clientData/>
  </xdr:twoCellAnchor>
  <xdr:twoCellAnchor>
    <xdr:from>
      <xdr:col>0</xdr:col>
      <xdr:colOff>229915</xdr:colOff>
      <xdr:row>29</xdr:row>
      <xdr:rowOff>115544</xdr:rowOff>
    </xdr:from>
    <xdr:to>
      <xdr:col>2</xdr:col>
      <xdr:colOff>229914</xdr:colOff>
      <xdr:row>31</xdr:row>
      <xdr:rowOff>18384</xdr:rowOff>
    </xdr:to>
    <xdr:sp macro="" textlink="">
      <xdr:nvSpPr>
        <xdr:cNvPr id="72" name="Rectangle: Rounded Corners 71">
          <a:extLst>
            <a:ext uri="{FF2B5EF4-FFF2-40B4-BE49-F238E27FC236}">
              <a16:creationId xmlns:a16="http://schemas.microsoft.com/office/drawing/2014/main" id="{990D8F69-5B1D-49A3-BA6F-FB7F898730CB}"/>
            </a:ext>
          </a:extLst>
        </xdr:cNvPr>
        <xdr:cNvSpPr/>
      </xdr:nvSpPr>
      <xdr:spPr>
        <a:xfrm>
          <a:off x="229915" y="5376973"/>
          <a:ext cx="1218162" cy="265697"/>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0"/>
            <a:t>Remote</a:t>
          </a:r>
        </a:p>
      </xdr:txBody>
    </xdr:sp>
    <xdr:clientData/>
  </xdr:twoCellAnchor>
  <xdr:twoCellAnchor>
    <xdr:from>
      <xdr:col>2</xdr:col>
      <xdr:colOff>209140</xdr:colOff>
      <xdr:row>24</xdr:row>
      <xdr:rowOff>165588</xdr:rowOff>
    </xdr:from>
    <xdr:to>
      <xdr:col>3</xdr:col>
      <xdr:colOff>138102</xdr:colOff>
      <xdr:row>26</xdr:row>
      <xdr:rowOff>69398</xdr:rowOff>
    </xdr:to>
    <xdr:sp macro="" textlink="'Pivot Tables'!$P$12">
      <xdr:nvSpPr>
        <xdr:cNvPr id="73" name="Rectangle: Rounded Corners 72">
          <a:extLst>
            <a:ext uri="{FF2B5EF4-FFF2-40B4-BE49-F238E27FC236}">
              <a16:creationId xmlns:a16="http://schemas.microsoft.com/office/drawing/2014/main" id="{E4093383-4BCB-4F1E-9DD9-4C049933A491}"/>
            </a:ext>
          </a:extLst>
        </xdr:cNvPr>
        <xdr:cNvSpPr/>
      </xdr:nvSpPr>
      <xdr:spPr>
        <a:xfrm>
          <a:off x="1423111" y="4647941"/>
          <a:ext cx="535947" cy="277339"/>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B7BA252B-0FFD-4F98-B60E-567BE7398999}" type="TxLink">
            <a:rPr lang="en-US" sz="1000" b="1" i="0" u="none" strike="noStrike">
              <a:solidFill>
                <a:schemeClr val="bg1"/>
              </a:solidFill>
              <a:latin typeface="Calibri"/>
              <a:ea typeface="Calibri"/>
              <a:cs typeface="Calibri"/>
            </a:rPr>
            <a:pPr marL="0" indent="0" algn="l"/>
            <a:t>46%</a:t>
          </a:fld>
          <a:endParaRPr lang="en-IN" sz="1000" b="1" i="0" u="none" strike="noStrike">
            <a:solidFill>
              <a:schemeClr val="bg1"/>
            </a:solidFill>
            <a:latin typeface="Calibri"/>
            <a:ea typeface="Calibri"/>
            <a:cs typeface="Calibri"/>
          </a:endParaRPr>
        </a:p>
      </xdr:txBody>
    </xdr:sp>
    <xdr:clientData/>
  </xdr:twoCellAnchor>
  <xdr:twoCellAnchor>
    <xdr:from>
      <xdr:col>2</xdr:col>
      <xdr:colOff>209141</xdr:colOff>
      <xdr:row>27</xdr:row>
      <xdr:rowOff>107386</xdr:rowOff>
    </xdr:from>
    <xdr:to>
      <xdr:col>3</xdr:col>
      <xdr:colOff>138103</xdr:colOff>
      <xdr:row>29</xdr:row>
      <xdr:rowOff>59471</xdr:rowOff>
    </xdr:to>
    <xdr:sp macro="" textlink="'Pivot Tables'!$P$13">
      <xdr:nvSpPr>
        <xdr:cNvPr id="74" name="Rectangle: Rounded Corners 73">
          <a:extLst>
            <a:ext uri="{FF2B5EF4-FFF2-40B4-BE49-F238E27FC236}">
              <a16:creationId xmlns:a16="http://schemas.microsoft.com/office/drawing/2014/main" id="{0A44DFE2-C66A-439C-83DE-306406180FDB}"/>
            </a:ext>
          </a:extLst>
        </xdr:cNvPr>
        <xdr:cNvSpPr/>
      </xdr:nvSpPr>
      <xdr:spPr>
        <a:xfrm>
          <a:off x="1423112" y="5150033"/>
          <a:ext cx="535947" cy="325614"/>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8FDB372C-46EC-4E01-865A-401888567EF8}" type="TxLink">
            <a:rPr lang="en-US" sz="1000" b="1" i="0" u="none" strike="noStrike">
              <a:solidFill>
                <a:schemeClr val="bg1"/>
              </a:solidFill>
              <a:latin typeface="Calibri"/>
              <a:ea typeface="Calibri"/>
              <a:cs typeface="Calibri"/>
            </a:rPr>
            <a:pPr marL="0" indent="0" algn="l"/>
            <a:t>16%</a:t>
          </a:fld>
          <a:endParaRPr lang="en-IN" sz="1000" b="1" i="0" u="none" strike="noStrike">
            <a:solidFill>
              <a:schemeClr val="bg1"/>
            </a:solidFill>
            <a:latin typeface="Calibri"/>
            <a:ea typeface="Calibri"/>
            <a:cs typeface="Calibri"/>
          </a:endParaRPr>
        </a:p>
      </xdr:txBody>
    </xdr:sp>
    <xdr:clientData/>
  </xdr:twoCellAnchor>
  <xdr:twoCellAnchor>
    <xdr:from>
      <xdr:col>2</xdr:col>
      <xdr:colOff>229420</xdr:colOff>
      <xdr:row>31</xdr:row>
      <xdr:rowOff>0</xdr:rowOff>
    </xdr:from>
    <xdr:to>
      <xdr:col>3</xdr:col>
      <xdr:colOff>158382</xdr:colOff>
      <xdr:row>32</xdr:row>
      <xdr:rowOff>51128</xdr:rowOff>
    </xdr:to>
    <xdr:sp macro="" textlink="'Pivot Tables'!$P$14">
      <xdr:nvSpPr>
        <xdr:cNvPr id="75" name="Rectangle: Rounded Corners 74">
          <a:extLst>
            <a:ext uri="{FF2B5EF4-FFF2-40B4-BE49-F238E27FC236}">
              <a16:creationId xmlns:a16="http://schemas.microsoft.com/office/drawing/2014/main" id="{FBB088D6-E8F4-4C21-981B-A54260D2F8A0}"/>
            </a:ext>
          </a:extLst>
        </xdr:cNvPr>
        <xdr:cNvSpPr/>
      </xdr:nvSpPr>
      <xdr:spPr>
        <a:xfrm>
          <a:off x="1447583" y="5624286"/>
          <a:ext cx="538044" cy="232556"/>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53932E7-79BA-45B6-86DC-42CDAAD02FD2}" type="TxLink">
            <a:rPr lang="en-US" sz="1000" b="1" i="0" u="none" strike="noStrike">
              <a:solidFill>
                <a:schemeClr val="bg1"/>
              </a:solidFill>
              <a:latin typeface="Calibri"/>
              <a:ea typeface="Calibri"/>
              <a:cs typeface="Calibri"/>
            </a:rPr>
            <a:pPr algn="l"/>
            <a:t>38%</a:t>
          </a:fld>
          <a:endParaRPr lang="en-IN" sz="900" b="0">
            <a:solidFill>
              <a:schemeClr val="bg1"/>
            </a:solidFill>
          </a:endParaRPr>
        </a:p>
      </xdr:txBody>
    </xdr:sp>
    <xdr:clientData/>
  </xdr:twoCellAnchor>
  <xdr:twoCellAnchor>
    <xdr:from>
      <xdr:col>0</xdr:col>
      <xdr:colOff>203503</xdr:colOff>
      <xdr:row>21</xdr:row>
      <xdr:rowOff>81422</xdr:rowOff>
    </xdr:from>
    <xdr:to>
      <xdr:col>3</xdr:col>
      <xdr:colOff>126826</xdr:colOff>
      <xdr:row>23</xdr:row>
      <xdr:rowOff>121717</xdr:rowOff>
    </xdr:to>
    <xdr:sp macro="" textlink="">
      <xdr:nvSpPr>
        <xdr:cNvPr id="76" name="Rectangle: Rounded Corners 75">
          <a:extLst>
            <a:ext uri="{FF2B5EF4-FFF2-40B4-BE49-F238E27FC236}">
              <a16:creationId xmlns:a16="http://schemas.microsoft.com/office/drawing/2014/main" id="{A15F11E2-14F4-4BBA-A3D5-CF4CB3B1A7D7}"/>
            </a:ext>
          </a:extLst>
        </xdr:cNvPr>
        <xdr:cNvSpPr/>
      </xdr:nvSpPr>
      <xdr:spPr>
        <a:xfrm>
          <a:off x="203503" y="3891422"/>
          <a:ext cx="1750568" cy="40315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4"/>
              </a:solidFill>
            </a:rPr>
            <a:t>Work</a:t>
          </a:r>
          <a:r>
            <a:rPr lang="en-IN" sz="1400" b="1" baseline="0">
              <a:solidFill>
                <a:schemeClr val="accent4"/>
              </a:solidFill>
            </a:rPr>
            <a:t> Location</a:t>
          </a:r>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100" b="1">
            <a:solidFill>
              <a:schemeClr val="accent4"/>
            </a:solidFill>
          </a:endParaRPr>
        </a:p>
      </xdr:txBody>
    </xdr:sp>
    <xdr:clientData/>
  </xdr:twoCellAnchor>
  <xdr:twoCellAnchor>
    <xdr:from>
      <xdr:col>0</xdr:col>
      <xdr:colOff>223133</xdr:colOff>
      <xdr:row>22</xdr:row>
      <xdr:rowOff>139527</xdr:rowOff>
    </xdr:from>
    <xdr:to>
      <xdr:col>3</xdr:col>
      <xdr:colOff>303349</xdr:colOff>
      <xdr:row>24</xdr:row>
      <xdr:rowOff>41176</xdr:rowOff>
    </xdr:to>
    <xdr:sp macro="" textlink="">
      <xdr:nvSpPr>
        <xdr:cNvPr id="77" name="Rectangle: Rounded Corners 76">
          <a:extLst>
            <a:ext uri="{FF2B5EF4-FFF2-40B4-BE49-F238E27FC236}">
              <a16:creationId xmlns:a16="http://schemas.microsoft.com/office/drawing/2014/main" id="{AF672F13-4906-436A-B6C3-97E940B6AC3D}"/>
            </a:ext>
          </a:extLst>
        </xdr:cNvPr>
        <xdr:cNvSpPr/>
      </xdr:nvSpPr>
      <xdr:spPr>
        <a:xfrm>
          <a:off x="223133" y="4130956"/>
          <a:ext cx="1907461" cy="264506"/>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tx1">
                  <a:lumMod val="50000"/>
                  <a:lumOff val="50000"/>
                </a:schemeClr>
              </a:solidFill>
            </a:rPr>
            <a:t>Employees</a:t>
          </a:r>
          <a:r>
            <a:rPr lang="en-IN" sz="1200" b="0" baseline="0">
              <a:solidFill>
                <a:schemeClr val="tx1">
                  <a:lumMod val="50000"/>
                  <a:lumOff val="50000"/>
                </a:schemeClr>
              </a:solidFill>
            </a:rPr>
            <a:t> to workplace</a:t>
          </a:r>
          <a:endParaRPr lang="en-IN" sz="1200" b="0">
            <a:solidFill>
              <a:schemeClr val="tx1">
                <a:lumMod val="50000"/>
                <a:lumOff val="50000"/>
              </a:schemeClr>
            </a:solidFill>
          </a:endParaRPr>
        </a:p>
      </xdr:txBody>
    </xdr:sp>
    <xdr:clientData/>
  </xdr:twoCellAnchor>
  <xdr:twoCellAnchor>
    <xdr:from>
      <xdr:col>0</xdr:col>
      <xdr:colOff>203503</xdr:colOff>
      <xdr:row>13</xdr:row>
      <xdr:rowOff>0</xdr:rowOff>
    </xdr:from>
    <xdr:to>
      <xdr:col>2</xdr:col>
      <xdr:colOff>203502</xdr:colOff>
      <xdr:row>14</xdr:row>
      <xdr:rowOff>160253</xdr:rowOff>
    </xdr:to>
    <xdr:sp macro="" textlink="">
      <xdr:nvSpPr>
        <xdr:cNvPr id="78" name="Rectangle: Rounded Corners 77">
          <a:extLst>
            <a:ext uri="{FF2B5EF4-FFF2-40B4-BE49-F238E27FC236}">
              <a16:creationId xmlns:a16="http://schemas.microsoft.com/office/drawing/2014/main" id="{D7FB1084-9AEC-4431-86E8-01987EEC200A}"/>
            </a:ext>
          </a:extLst>
        </xdr:cNvPr>
        <xdr:cNvSpPr/>
      </xdr:nvSpPr>
      <xdr:spPr>
        <a:xfrm>
          <a:off x="203503" y="2358571"/>
          <a:ext cx="1218162" cy="34168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a:t>Communication</a:t>
          </a:r>
        </a:p>
      </xdr:txBody>
    </xdr:sp>
    <xdr:clientData/>
  </xdr:twoCellAnchor>
  <xdr:twoCellAnchor>
    <xdr:from>
      <xdr:col>0</xdr:col>
      <xdr:colOff>203503</xdr:colOff>
      <xdr:row>14</xdr:row>
      <xdr:rowOff>113817</xdr:rowOff>
    </xdr:from>
    <xdr:to>
      <xdr:col>2</xdr:col>
      <xdr:colOff>203502</xdr:colOff>
      <xdr:row>16</xdr:row>
      <xdr:rowOff>93656</xdr:rowOff>
    </xdr:to>
    <xdr:sp macro="" textlink="">
      <xdr:nvSpPr>
        <xdr:cNvPr id="79" name="Rectangle: Rounded Corners 78">
          <a:extLst>
            <a:ext uri="{FF2B5EF4-FFF2-40B4-BE49-F238E27FC236}">
              <a16:creationId xmlns:a16="http://schemas.microsoft.com/office/drawing/2014/main" id="{923DF4FE-95FD-4661-A3F0-FA3FED013131}"/>
            </a:ext>
          </a:extLst>
        </xdr:cNvPr>
        <xdr:cNvSpPr/>
      </xdr:nvSpPr>
      <xdr:spPr>
        <a:xfrm>
          <a:off x="203503" y="2728523"/>
          <a:ext cx="1213970" cy="35336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a:t>Design</a:t>
          </a:r>
        </a:p>
      </xdr:txBody>
    </xdr:sp>
    <xdr:clientData/>
  </xdr:twoCellAnchor>
  <xdr:twoCellAnchor>
    <xdr:from>
      <xdr:col>0</xdr:col>
      <xdr:colOff>203503</xdr:colOff>
      <xdr:row>16</xdr:row>
      <xdr:rowOff>40226</xdr:rowOff>
    </xdr:from>
    <xdr:to>
      <xdr:col>2</xdr:col>
      <xdr:colOff>203502</xdr:colOff>
      <xdr:row>18</xdr:row>
      <xdr:rowOff>20065</xdr:rowOff>
    </xdr:to>
    <xdr:sp macro="" textlink="">
      <xdr:nvSpPr>
        <xdr:cNvPr id="80" name="Rectangle: Rounded Corners 79">
          <a:extLst>
            <a:ext uri="{FF2B5EF4-FFF2-40B4-BE49-F238E27FC236}">
              <a16:creationId xmlns:a16="http://schemas.microsoft.com/office/drawing/2014/main" id="{DA16F032-ED89-4059-AC87-215D03A7355E}"/>
            </a:ext>
          </a:extLst>
        </xdr:cNvPr>
        <xdr:cNvSpPr/>
      </xdr:nvSpPr>
      <xdr:spPr>
        <a:xfrm>
          <a:off x="203503" y="3028461"/>
          <a:ext cx="1213970" cy="353369"/>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a:t>Excel</a:t>
          </a:r>
        </a:p>
      </xdr:txBody>
    </xdr:sp>
    <xdr:clientData/>
  </xdr:twoCellAnchor>
  <xdr:twoCellAnchor>
    <xdr:from>
      <xdr:col>0</xdr:col>
      <xdr:colOff>203503</xdr:colOff>
      <xdr:row>17</xdr:row>
      <xdr:rowOff>160395</xdr:rowOff>
    </xdr:from>
    <xdr:to>
      <xdr:col>2</xdr:col>
      <xdr:colOff>203502</xdr:colOff>
      <xdr:row>19</xdr:row>
      <xdr:rowOff>140234</xdr:rowOff>
    </xdr:to>
    <xdr:sp macro="" textlink="">
      <xdr:nvSpPr>
        <xdr:cNvPr id="81" name="Rectangle: Rounded Corners 80">
          <a:extLst>
            <a:ext uri="{FF2B5EF4-FFF2-40B4-BE49-F238E27FC236}">
              <a16:creationId xmlns:a16="http://schemas.microsoft.com/office/drawing/2014/main" id="{9336C2C5-DDCC-48BB-970B-A044E7C5C6FC}"/>
            </a:ext>
          </a:extLst>
        </xdr:cNvPr>
        <xdr:cNvSpPr/>
      </xdr:nvSpPr>
      <xdr:spPr>
        <a:xfrm>
          <a:off x="203503" y="3335395"/>
          <a:ext cx="1213970" cy="35336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a:t>Management</a:t>
          </a:r>
        </a:p>
      </xdr:txBody>
    </xdr:sp>
    <xdr:clientData/>
  </xdr:twoCellAnchor>
  <xdr:twoCellAnchor>
    <xdr:from>
      <xdr:col>0</xdr:col>
      <xdr:colOff>203503</xdr:colOff>
      <xdr:row>19</xdr:row>
      <xdr:rowOff>65881</xdr:rowOff>
    </xdr:from>
    <xdr:to>
      <xdr:col>2</xdr:col>
      <xdr:colOff>203502</xdr:colOff>
      <xdr:row>21</xdr:row>
      <xdr:rowOff>47746</xdr:rowOff>
    </xdr:to>
    <xdr:sp macro="" textlink="">
      <xdr:nvSpPr>
        <xdr:cNvPr id="82" name="Rectangle: Rounded Corners 81">
          <a:extLst>
            <a:ext uri="{FF2B5EF4-FFF2-40B4-BE49-F238E27FC236}">
              <a16:creationId xmlns:a16="http://schemas.microsoft.com/office/drawing/2014/main" id="{45B4740F-EE94-4DB0-98B4-CB6E25708669}"/>
            </a:ext>
          </a:extLst>
        </xdr:cNvPr>
        <xdr:cNvSpPr/>
      </xdr:nvSpPr>
      <xdr:spPr>
        <a:xfrm>
          <a:off x="203503" y="3614410"/>
          <a:ext cx="1213970" cy="355395"/>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a:t>Python</a:t>
          </a:r>
        </a:p>
      </xdr:txBody>
    </xdr:sp>
    <xdr:clientData/>
  </xdr:twoCellAnchor>
  <xdr:twoCellAnchor>
    <xdr:from>
      <xdr:col>2</xdr:col>
      <xdr:colOff>216461</xdr:colOff>
      <xdr:row>12</xdr:row>
      <xdr:rowOff>107597</xdr:rowOff>
    </xdr:from>
    <xdr:to>
      <xdr:col>3</xdr:col>
      <xdr:colOff>301300</xdr:colOff>
      <xdr:row>14</xdr:row>
      <xdr:rowOff>104227</xdr:rowOff>
    </xdr:to>
    <xdr:sp macro="" textlink="'Pivot Tables'!T14">
      <xdr:nvSpPr>
        <xdr:cNvPr id="83" name="Rectangle: Rounded Corners 82">
          <a:extLst>
            <a:ext uri="{FF2B5EF4-FFF2-40B4-BE49-F238E27FC236}">
              <a16:creationId xmlns:a16="http://schemas.microsoft.com/office/drawing/2014/main" id="{D5F81B9B-2114-413E-9AA3-AA14FEF54AA0}"/>
            </a:ext>
          </a:extLst>
        </xdr:cNvPr>
        <xdr:cNvSpPr/>
      </xdr:nvSpPr>
      <xdr:spPr>
        <a:xfrm>
          <a:off x="1434624" y="2284740"/>
          <a:ext cx="693921" cy="359487"/>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C0731203-254B-443A-A5CA-FABA42E0C845}" type="TxLink">
            <a:rPr lang="en-US" sz="1600" b="0" i="0" u="none" strike="noStrike">
              <a:solidFill>
                <a:srgbClr val="E5B244"/>
              </a:solidFill>
              <a:latin typeface="Calibri"/>
              <a:ea typeface="Calibri"/>
              <a:cs typeface="Calibri"/>
            </a:rPr>
            <a:pPr algn="r"/>
            <a:t>12</a:t>
          </a:fld>
          <a:endParaRPr lang="en-IN" sz="1200" b="0">
            <a:solidFill>
              <a:srgbClr val="E5B244"/>
            </a:solidFill>
          </a:endParaRPr>
        </a:p>
      </xdr:txBody>
    </xdr:sp>
    <xdr:clientData/>
  </xdr:twoCellAnchor>
  <xdr:twoCellAnchor>
    <xdr:from>
      <xdr:col>2</xdr:col>
      <xdr:colOff>270840</xdr:colOff>
      <xdr:row>14</xdr:row>
      <xdr:rowOff>63758</xdr:rowOff>
    </xdr:from>
    <xdr:to>
      <xdr:col>3</xdr:col>
      <xdr:colOff>303349</xdr:colOff>
      <xdr:row>16</xdr:row>
      <xdr:rowOff>40226</xdr:rowOff>
    </xdr:to>
    <xdr:sp macro="" textlink="'Pivot Tables'!T15">
      <xdr:nvSpPr>
        <xdr:cNvPr id="84" name="Rectangle: Rounded Corners 83">
          <a:extLst>
            <a:ext uri="{FF2B5EF4-FFF2-40B4-BE49-F238E27FC236}">
              <a16:creationId xmlns:a16="http://schemas.microsoft.com/office/drawing/2014/main" id="{163B6C98-E03A-486C-8107-58608B8B0047}"/>
            </a:ext>
          </a:extLst>
        </xdr:cNvPr>
        <xdr:cNvSpPr/>
      </xdr:nvSpPr>
      <xdr:spPr>
        <a:xfrm>
          <a:off x="1489003" y="2603758"/>
          <a:ext cx="641591" cy="339325"/>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9AFAECE4-29D6-48C3-AC46-1DEA6E7F238E}" type="TxLink">
            <a:rPr lang="en-US" sz="1600" b="0" i="0" u="none" strike="noStrike">
              <a:solidFill>
                <a:srgbClr val="E5B244"/>
              </a:solidFill>
              <a:latin typeface="Calibri"/>
              <a:ea typeface="Calibri"/>
              <a:cs typeface="Calibri"/>
            </a:rPr>
            <a:pPr marL="0" indent="0" algn="r"/>
            <a:t>11</a:t>
          </a:fld>
          <a:endParaRPr lang="en-IN" sz="1600" b="0" i="0" u="none" strike="noStrike">
            <a:solidFill>
              <a:srgbClr val="E5B244"/>
            </a:solidFill>
            <a:latin typeface="Calibri"/>
            <a:ea typeface="Calibri"/>
            <a:cs typeface="Calibri"/>
          </a:endParaRPr>
        </a:p>
      </xdr:txBody>
    </xdr:sp>
    <xdr:clientData/>
  </xdr:twoCellAnchor>
  <xdr:twoCellAnchor>
    <xdr:from>
      <xdr:col>1</xdr:col>
      <xdr:colOff>550957</xdr:colOff>
      <xdr:row>16</xdr:row>
      <xdr:rowOff>43598</xdr:rowOff>
    </xdr:from>
    <xdr:to>
      <xdr:col>3</xdr:col>
      <xdr:colOff>248602</xdr:colOff>
      <xdr:row>18</xdr:row>
      <xdr:rowOff>20065</xdr:rowOff>
    </xdr:to>
    <xdr:sp macro="" textlink="'Pivot Tables'!T16">
      <xdr:nvSpPr>
        <xdr:cNvPr id="85" name="Rectangle: Rounded Corners 84">
          <a:extLst>
            <a:ext uri="{FF2B5EF4-FFF2-40B4-BE49-F238E27FC236}">
              <a16:creationId xmlns:a16="http://schemas.microsoft.com/office/drawing/2014/main" id="{A832763F-CFED-4F56-A129-515FC9FA157C}"/>
            </a:ext>
          </a:extLst>
        </xdr:cNvPr>
        <xdr:cNvSpPr/>
      </xdr:nvSpPr>
      <xdr:spPr>
        <a:xfrm>
          <a:off x="1160039" y="2946455"/>
          <a:ext cx="915808" cy="339324"/>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32EB35B6-BB53-4855-BA79-5F53235C2ED7}" type="TxLink">
            <a:rPr lang="en-US" sz="1600" b="0" i="0" u="none" strike="noStrike">
              <a:solidFill>
                <a:srgbClr val="E5B244"/>
              </a:solidFill>
              <a:latin typeface="Calibri"/>
              <a:ea typeface="Calibri"/>
              <a:cs typeface="Calibri"/>
            </a:rPr>
            <a:pPr marL="0" indent="0" algn="r"/>
            <a:t>7</a:t>
          </a:fld>
          <a:endParaRPr lang="en-IN" sz="1600" b="0" i="0" u="none" strike="noStrike">
            <a:solidFill>
              <a:srgbClr val="E5B244"/>
            </a:solidFill>
            <a:latin typeface="Calibri"/>
            <a:ea typeface="Calibri"/>
            <a:cs typeface="Calibri"/>
          </a:endParaRPr>
        </a:p>
      </xdr:txBody>
    </xdr:sp>
    <xdr:clientData/>
  </xdr:twoCellAnchor>
  <xdr:twoCellAnchor>
    <xdr:from>
      <xdr:col>1</xdr:col>
      <xdr:colOff>525258</xdr:colOff>
      <xdr:row>17</xdr:row>
      <xdr:rowOff>140808</xdr:rowOff>
    </xdr:from>
    <xdr:to>
      <xdr:col>3</xdr:col>
      <xdr:colOff>262642</xdr:colOff>
      <xdr:row>19</xdr:row>
      <xdr:rowOff>42923</xdr:rowOff>
    </xdr:to>
    <xdr:sp macro="" textlink="'Pivot Tables'!T17">
      <xdr:nvSpPr>
        <xdr:cNvPr id="86" name="Rectangle: Rounded Corners 85">
          <a:extLst>
            <a:ext uri="{FF2B5EF4-FFF2-40B4-BE49-F238E27FC236}">
              <a16:creationId xmlns:a16="http://schemas.microsoft.com/office/drawing/2014/main" id="{1FCD660B-21E2-464F-9B60-E89802E23722}"/>
            </a:ext>
          </a:extLst>
        </xdr:cNvPr>
        <xdr:cNvSpPr/>
      </xdr:nvSpPr>
      <xdr:spPr>
        <a:xfrm>
          <a:off x="1134340" y="3225094"/>
          <a:ext cx="955547" cy="26497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77973765-74F9-4623-BE4F-A9A2F2EB0BD8}" type="TxLink">
            <a:rPr lang="en-US" sz="1600" b="0" i="0" u="none" strike="noStrike">
              <a:solidFill>
                <a:srgbClr val="E5B244"/>
              </a:solidFill>
              <a:latin typeface="Calibri"/>
              <a:ea typeface="Calibri"/>
              <a:cs typeface="Calibri"/>
            </a:rPr>
            <a:pPr marL="0" indent="0" algn="r"/>
            <a:t>11</a:t>
          </a:fld>
          <a:endParaRPr lang="en-IN" sz="1600" b="0" i="0" u="none" strike="noStrike">
            <a:solidFill>
              <a:srgbClr val="E5B244"/>
            </a:solidFill>
            <a:latin typeface="Calibri"/>
            <a:ea typeface="Calibri"/>
            <a:cs typeface="Calibri"/>
          </a:endParaRPr>
        </a:p>
      </xdr:txBody>
    </xdr:sp>
    <xdr:clientData/>
  </xdr:twoCellAnchor>
  <xdr:twoCellAnchor>
    <xdr:from>
      <xdr:col>1</xdr:col>
      <xdr:colOff>525258</xdr:colOff>
      <xdr:row>19</xdr:row>
      <xdr:rowOff>32845</xdr:rowOff>
    </xdr:from>
    <xdr:to>
      <xdr:col>3</xdr:col>
      <xdr:colOff>222903</xdr:colOff>
      <xdr:row>20</xdr:row>
      <xdr:rowOff>136152</xdr:rowOff>
    </xdr:to>
    <xdr:sp macro="" textlink="'Pivot Tables'!T18">
      <xdr:nvSpPr>
        <xdr:cNvPr id="87" name="Rectangle: Rounded Corners 86">
          <a:extLst>
            <a:ext uri="{FF2B5EF4-FFF2-40B4-BE49-F238E27FC236}">
              <a16:creationId xmlns:a16="http://schemas.microsoft.com/office/drawing/2014/main" id="{443C3385-1F00-4645-8E99-FB4359CBE496}"/>
            </a:ext>
          </a:extLst>
        </xdr:cNvPr>
        <xdr:cNvSpPr/>
      </xdr:nvSpPr>
      <xdr:spPr>
        <a:xfrm>
          <a:off x="1134340" y="3479988"/>
          <a:ext cx="915808" cy="284735"/>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BFCA64B4-352D-45CB-9A15-DD4ADCA63AB6}" type="TxLink">
            <a:rPr lang="en-US" sz="1600" b="0" i="0" u="none" strike="noStrike">
              <a:solidFill>
                <a:srgbClr val="E5B244"/>
              </a:solidFill>
              <a:latin typeface="Calibri"/>
              <a:ea typeface="Calibri"/>
              <a:cs typeface="Calibri"/>
            </a:rPr>
            <a:pPr marL="0" indent="0" algn="r"/>
            <a:t>9</a:t>
          </a:fld>
          <a:endParaRPr lang="en-IN" sz="1600" b="0" i="0" u="none" strike="noStrike">
            <a:solidFill>
              <a:srgbClr val="E5B244"/>
            </a:solidFill>
            <a:latin typeface="Calibri"/>
            <a:ea typeface="Calibri"/>
            <a:cs typeface="Calibri"/>
          </a:endParaRPr>
        </a:p>
      </xdr:txBody>
    </xdr:sp>
    <xdr:clientData/>
  </xdr:twoCellAnchor>
  <xdr:twoCellAnchor>
    <xdr:from>
      <xdr:col>0</xdr:col>
      <xdr:colOff>203503</xdr:colOff>
      <xdr:row>8</xdr:row>
      <xdr:rowOff>141132</xdr:rowOff>
    </xdr:from>
    <xdr:to>
      <xdr:col>3</xdr:col>
      <xdr:colOff>39958</xdr:colOff>
      <xdr:row>13</xdr:row>
      <xdr:rowOff>0</xdr:rowOff>
    </xdr:to>
    <xdr:sp macro="" textlink="">
      <xdr:nvSpPr>
        <xdr:cNvPr id="89" name="Rectangle: Rounded Corners 88">
          <a:extLst>
            <a:ext uri="{FF2B5EF4-FFF2-40B4-BE49-F238E27FC236}">
              <a16:creationId xmlns:a16="http://schemas.microsoft.com/office/drawing/2014/main" id="{40FAB860-E1F6-498D-A174-15781D1B28A6}"/>
            </a:ext>
          </a:extLst>
        </xdr:cNvPr>
        <xdr:cNvSpPr/>
      </xdr:nvSpPr>
      <xdr:spPr>
        <a:xfrm>
          <a:off x="203503" y="1592561"/>
          <a:ext cx="1663700" cy="766010"/>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4"/>
              </a:solidFill>
            </a:rPr>
            <a:t>Skills</a:t>
          </a:r>
        </a:p>
        <a:p>
          <a:pPr algn="l"/>
          <a:r>
            <a:rPr lang="en-IN" sz="1600" b="1">
              <a:solidFill>
                <a:schemeClr val="accent4"/>
              </a:solidFill>
            </a:rPr>
            <a:t>Breakdown</a:t>
          </a: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400" b="1">
            <a:solidFill>
              <a:schemeClr val="accent4"/>
            </a:solidFill>
          </a:endParaRPr>
        </a:p>
        <a:p>
          <a:pPr algn="l"/>
          <a:endParaRPr lang="en-IN" sz="1100" b="1">
            <a:solidFill>
              <a:schemeClr val="accent4"/>
            </a:solidFill>
          </a:endParaRPr>
        </a:p>
      </xdr:txBody>
    </xdr:sp>
    <xdr:clientData/>
  </xdr:twoCellAnchor>
  <xdr:twoCellAnchor>
    <xdr:from>
      <xdr:col>3</xdr:col>
      <xdr:colOff>472946</xdr:colOff>
      <xdr:row>6</xdr:row>
      <xdr:rowOff>21525</xdr:rowOff>
    </xdr:from>
    <xdr:to>
      <xdr:col>5</xdr:col>
      <xdr:colOff>444759</xdr:colOff>
      <xdr:row>9</xdr:row>
      <xdr:rowOff>102235</xdr:rowOff>
    </xdr:to>
    <xdr:sp macro="" textlink="'Pivot Tables'!J24">
      <xdr:nvSpPr>
        <xdr:cNvPr id="90" name="Rectangle: Rounded Corners 89">
          <a:extLst>
            <a:ext uri="{FF2B5EF4-FFF2-40B4-BE49-F238E27FC236}">
              <a16:creationId xmlns:a16="http://schemas.microsoft.com/office/drawing/2014/main" id="{66F02509-19BB-4406-977D-EF23C7D26A98}"/>
            </a:ext>
          </a:extLst>
        </xdr:cNvPr>
        <xdr:cNvSpPr/>
      </xdr:nvSpPr>
      <xdr:spPr>
        <a:xfrm>
          <a:off x="2313370" y="1119322"/>
          <a:ext cx="1198762" cy="62960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37779C7-7150-4A8D-9CAC-5DFC4B55EF7B}" type="TxLink">
            <a:rPr lang="en-US" sz="3600" b="1" i="0" u="none" strike="noStrike">
              <a:solidFill>
                <a:schemeClr val="bg1"/>
              </a:solidFill>
              <a:latin typeface="Calibri"/>
              <a:ea typeface="Calibri"/>
              <a:cs typeface="Calibri"/>
            </a:rPr>
            <a:pPr algn="l"/>
            <a:t>50</a:t>
          </a:fld>
          <a:endParaRPr lang="en-IN" sz="3600" b="1">
            <a:solidFill>
              <a:schemeClr val="bg1"/>
            </a:solidFill>
          </a:endParaRPr>
        </a:p>
      </xdr:txBody>
    </xdr:sp>
    <xdr:clientData/>
  </xdr:twoCellAnchor>
  <xdr:twoCellAnchor>
    <xdr:from>
      <xdr:col>8</xdr:col>
      <xdr:colOff>90866</xdr:colOff>
      <xdr:row>5</xdr:row>
      <xdr:rowOff>53813</xdr:rowOff>
    </xdr:from>
    <xdr:to>
      <xdr:col>10</xdr:col>
      <xdr:colOff>422191</xdr:colOff>
      <xdr:row>7</xdr:row>
      <xdr:rowOff>32288</xdr:rowOff>
    </xdr:to>
    <xdr:sp macro="" textlink="">
      <xdr:nvSpPr>
        <xdr:cNvPr id="91" name="Rectangle: Rounded Corners 90">
          <a:extLst>
            <a:ext uri="{FF2B5EF4-FFF2-40B4-BE49-F238E27FC236}">
              <a16:creationId xmlns:a16="http://schemas.microsoft.com/office/drawing/2014/main" id="{7897F3D7-FD5B-45CC-8613-B7366A2CBE78}"/>
            </a:ext>
          </a:extLst>
        </xdr:cNvPr>
        <xdr:cNvSpPr/>
      </xdr:nvSpPr>
      <xdr:spPr>
        <a:xfrm>
          <a:off x="4998663" y="968644"/>
          <a:ext cx="1558274" cy="344407"/>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4"/>
              </a:solidFill>
            </a:rPr>
            <a:t>Leave</a:t>
          </a:r>
          <a:r>
            <a:rPr lang="en-IN" sz="1400" b="1" baseline="0">
              <a:solidFill>
                <a:schemeClr val="accent4"/>
              </a:solidFill>
            </a:rPr>
            <a:t> Tracking</a:t>
          </a:r>
          <a:endParaRPr lang="en-IN" sz="1100" b="1">
            <a:solidFill>
              <a:schemeClr val="accent4"/>
            </a:solidFill>
          </a:endParaRPr>
        </a:p>
      </xdr:txBody>
    </xdr:sp>
    <xdr:clientData/>
  </xdr:twoCellAnchor>
  <xdr:twoCellAnchor>
    <xdr:from>
      <xdr:col>3</xdr:col>
      <xdr:colOff>472946</xdr:colOff>
      <xdr:row>9</xdr:row>
      <xdr:rowOff>302</xdr:rowOff>
    </xdr:from>
    <xdr:to>
      <xdr:col>6</xdr:col>
      <xdr:colOff>583767</xdr:colOff>
      <xdr:row>10</xdr:row>
      <xdr:rowOff>181427</xdr:rowOff>
    </xdr:to>
    <xdr:sp macro="" textlink="">
      <xdr:nvSpPr>
        <xdr:cNvPr id="93" name="Rectangle: Rounded Corners 92">
          <a:extLst>
            <a:ext uri="{FF2B5EF4-FFF2-40B4-BE49-F238E27FC236}">
              <a16:creationId xmlns:a16="http://schemas.microsoft.com/office/drawing/2014/main" id="{61E4BE13-6777-4406-A2A3-EF7412647D9D}"/>
            </a:ext>
          </a:extLst>
        </xdr:cNvPr>
        <xdr:cNvSpPr/>
      </xdr:nvSpPr>
      <xdr:spPr>
        <a:xfrm>
          <a:off x="2300191" y="1633159"/>
          <a:ext cx="1938066" cy="362554"/>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chemeClr val="accent4"/>
              </a:solidFill>
            </a:rPr>
            <a:t>Total</a:t>
          </a:r>
          <a:r>
            <a:rPr lang="en-IN" sz="1050" b="1" baseline="0">
              <a:solidFill>
                <a:schemeClr val="accent4"/>
              </a:solidFill>
            </a:rPr>
            <a:t> Employees</a:t>
          </a:r>
          <a:endParaRPr lang="en-IN" sz="900" b="1">
            <a:solidFill>
              <a:schemeClr val="accent4"/>
            </a:solidFill>
          </a:endParaRPr>
        </a:p>
      </xdr:txBody>
    </xdr:sp>
    <xdr:clientData/>
  </xdr:twoCellAnchor>
  <xdr:twoCellAnchor>
    <xdr:from>
      <xdr:col>3</xdr:col>
      <xdr:colOff>472946</xdr:colOff>
      <xdr:row>5</xdr:row>
      <xdr:rowOff>53813</xdr:rowOff>
    </xdr:from>
    <xdr:to>
      <xdr:col>6</xdr:col>
      <xdr:colOff>482804</xdr:colOff>
      <xdr:row>6</xdr:row>
      <xdr:rowOff>161441</xdr:rowOff>
    </xdr:to>
    <xdr:sp macro="" textlink="">
      <xdr:nvSpPr>
        <xdr:cNvPr id="94" name="Rectangle: Rounded Corners 93">
          <a:extLst>
            <a:ext uri="{FF2B5EF4-FFF2-40B4-BE49-F238E27FC236}">
              <a16:creationId xmlns:a16="http://schemas.microsoft.com/office/drawing/2014/main" id="{3AAADFB5-BFC8-4020-AD44-DD0E21A0AC41}"/>
            </a:ext>
          </a:extLst>
        </xdr:cNvPr>
        <xdr:cNvSpPr/>
      </xdr:nvSpPr>
      <xdr:spPr>
        <a:xfrm>
          <a:off x="2313370" y="968644"/>
          <a:ext cx="1850281" cy="290594"/>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4"/>
              </a:solidFill>
            </a:rPr>
            <a:t>Employees</a:t>
          </a:r>
          <a:r>
            <a:rPr lang="en-IN" sz="1200" b="1" baseline="0">
              <a:solidFill>
                <a:schemeClr val="accent4"/>
              </a:solidFill>
            </a:rPr>
            <a:t> Number</a:t>
          </a:r>
          <a:endParaRPr lang="en-IN" sz="1050" b="1">
            <a:solidFill>
              <a:schemeClr val="accent4"/>
            </a:solidFill>
          </a:endParaRPr>
        </a:p>
      </xdr:txBody>
    </xdr:sp>
    <xdr:clientData/>
  </xdr:twoCellAnchor>
  <xdr:twoCellAnchor>
    <xdr:from>
      <xdr:col>3</xdr:col>
      <xdr:colOff>534631</xdr:colOff>
      <xdr:row>11</xdr:row>
      <xdr:rowOff>178620</xdr:rowOff>
    </xdr:from>
    <xdr:to>
      <xdr:col>5</xdr:col>
      <xdr:colOff>142551</xdr:colOff>
      <xdr:row>16</xdr:row>
      <xdr:rowOff>12959</xdr:rowOff>
    </xdr:to>
    <xdr:sp macro="" textlink="">
      <xdr:nvSpPr>
        <xdr:cNvPr id="41" name="Rectangle: Rounded Corners 40">
          <a:extLst>
            <a:ext uri="{FF2B5EF4-FFF2-40B4-BE49-F238E27FC236}">
              <a16:creationId xmlns:a16="http://schemas.microsoft.com/office/drawing/2014/main" id="{4EED4C1F-2FC1-45AE-8320-A71AA04B5DC0}"/>
            </a:ext>
          </a:extLst>
        </xdr:cNvPr>
        <xdr:cNvSpPr/>
      </xdr:nvSpPr>
      <xdr:spPr>
        <a:xfrm>
          <a:off x="2361876" y="2174334"/>
          <a:ext cx="826083" cy="74148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4"/>
              </a:solidFill>
            </a:rPr>
            <a:t>Males</a:t>
          </a:r>
        </a:p>
      </xdr:txBody>
    </xdr:sp>
    <xdr:clientData/>
  </xdr:twoCellAnchor>
  <xdr:twoCellAnchor>
    <xdr:from>
      <xdr:col>5</xdr:col>
      <xdr:colOff>521900</xdr:colOff>
      <xdr:row>11</xdr:row>
      <xdr:rowOff>146645</xdr:rowOff>
    </xdr:from>
    <xdr:to>
      <xdr:col>7</xdr:col>
      <xdr:colOff>129820</xdr:colOff>
      <xdr:row>12</xdr:row>
      <xdr:rowOff>173182</xdr:rowOff>
    </xdr:to>
    <xdr:sp macro="" textlink="">
      <xdr:nvSpPr>
        <xdr:cNvPr id="49" name="Rectangle: Rounded Corners 48">
          <a:extLst>
            <a:ext uri="{FF2B5EF4-FFF2-40B4-BE49-F238E27FC236}">
              <a16:creationId xmlns:a16="http://schemas.microsoft.com/office/drawing/2014/main" id="{45100559-FA84-42B2-A8E5-48A86534DE7B}"/>
            </a:ext>
          </a:extLst>
        </xdr:cNvPr>
        <xdr:cNvSpPr/>
      </xdr:nvSpPr>
      <xdr:spPr>
        <a:xfrm>
          <a:off x="3589273" y="2159272"/>
          <a:ext cx="834869" cy="209503"/>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4"/>
              </a:solidFill>
            </a:rPr>
            <a:t>Females</a:t>
          </a:r>
        </a:p>
      </xdr:txBody>
    </xdr:sp>
    <xdr:clientData/>
  </xdr:twoCellAnchor>
  <xdr:twoCellAnchor>
    <xdr:from>
      <xdr:col>5</xdr:col>
      <xdr:colOff>558030</xdr:colOff>
      <xdr:row>13</xdr:row>
      <xdr:rowOff>1</xdr:rowOff>
    </xdr:from>
    <xdr:to>
      <xdr:col>7</xdr:col>
      <xdr:colOff>471439</xdr:colOff>
      <xdr:row>17</xdr:row>
      <xdr:rowOff>134698</xdr:rowOff>
    </xdr:to>
    <xdr:graphicFrame macro="">
      <xdr:nvGraphicFramePr>
        <xdr:cNvPr id="50" name="Chart 49">
          <a:extLst>
            <a:ext uri="{FF2B5EF4-FFF2-40B4-BE49-F238E27FC236}">
              <a16:creationId xmlns:a16="http://schemas.microsoft.com/office/drawing/2014/main" id="{53B6D3C9-CE72-4BAD-BC3D-43DA10649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25917</xdr:colOff>
      <xdr:row>12</xdr:row>
      <xdr:rowOff>173183</xdr:rowOff>
    </xdr:from>
    <xdr:to>
      <xdr:col>5</xdr:col>
      <xdr:colOff>384848</xdr:colOff>
      <xdr:row>18</xdr:row>
      <xdr:rowOff>38878</xdr:rowOff>
    </xdr:to>
    <xdr:graphicFrame macro="">
      <xdr:nvGraphicFramePr>
        <xdr:cNvPr id="51" name="Chart 50">
          <a:extLst>
            <a:ext uri="{FF2B5EF4-FFF2-40B4-BE49-F238E27FC236}">
              <a16:creationId xmlns:a16="http://schemas.microsoft.com/office/drawing/2014/main" id="{E6E7CD2D-ECAC-430E-A4F4-486ED4ACC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269067</xdr:colOff>
      <xdr:row>14</xdr:row>
      <xdr:rowOff>164458</xdr:rowOff>
    </xdr:from>
    <xdr:to>
      <xdr:col>5</xdr:col>
      <xdr:colOff>121633</xdr:colOff>
      <xdr:row>16</xdr:row>
      <xdr:rowOff>0</xdr:rowOff>
    </xdr:to>
    <xdr:sp macro="" textlink="'Pivot Tables'!K22">
      <xdr:nvSpPr>
        <xdr:cNvPr id="52" name="Rectangle: Rounded Corners 51">
          <a:extLst>
            <a:ext uri="{FF2B5EF4-FFF2-40B4-BE49-F238E27FC236}">
              <a16:creationId xmlns:a16="http://schemas.microsoft.com/office/drawing/2014/main" id="{518F130D-82A4-42FC-8F3C-500A0EECC74C}"/>
            </a:ext>
          </a:extLst>
        </xdr:cNvPr>
        <xdr:cNvSpPr/>
      </xdr:nvSpPr>
      <xdr:spPr>
        <a:xfrm>
          <a:off x="2722965" y="2725983"/>
          <a:ext cx="466041" cy="201475"/>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CACEF4D-7F10-4B3C-AB45-A5EBA114C7C4}" type="TxLink">
            <a:rPr lang="en-US" sz="1000" b="1" i="0" u="none" strike="noStrike">
              <a:solidFill>
                <a:schemeClr val="bg1"/>
              </a:solidFill>
              <a:latin typeface="Calibri"/>
              <a:ea typeface="Calibri"/>
              <a:cs typeface="Calibri"/>
            </a:rPr>
            <a:pPr marL="0" indent="0" algn="l"/>
            <a:t>48%</a:t>
          </a:fld>
          <a:endParaRPr lang="en-US" sz="1000" b="1" i="0" u="none" strike="noStrike">
            <a:solidFill>
              <a:schemeClr val="bg1"/>
            </a:solidFill>
            <a:latin typeface="Calibri"/>
            <a:ea typeface="Calibri"/>
            <a:cs typeface="Calibri"/>
          </a:endParaRPr>
        </a:p>
      </xdr:txBody>
    </xdr:sp>
    <xdr:clientData/>
  </xdr:twoCellAnchor>
  <xdr:twoCellAnchor>
    <xdr:from>
      <xdr:col>6</xdr:col>
      <xdr:colOff>307878</xdr:colOff>
      <xdr:row>14</xdr:row>
      <xdr:rowOff>173183</xdr:rowOff>
    </xdr:from>
    <xdr:to>
      <xdr:col>7</xdr:col>
      <xdr:colOff>125075</xdr:colOff>
      <xdr:row>15</xdr:row>
      <xdr:rowOff>134698</xdr:rowOff>
    </xdr:to>
    <xdr:sp macro="" textlink="'Pivot Tables'!K23">
      <xdr:nvSpPr>
        <xdr:cNvPr id="53" name="Rectangle: Rounded Corners 52">
          <a:extLst>
            <a:ext uri="{FF2B5EF4-FFF2-40B4-BE49-F238E27FC236}">
              <a16:creationId xmlns:a16="http://schemas.microsoft.com/office/drawing/2014/main" id="{3A8F7CCC-FE3E-4844-A778-F573A20B7A67}"/>
            </a:ext>
          </a:extLst>
        </xdr:cNvPr>
        <xdr:cNvSpPr/>
      </xdr:nvSpPr>
      <xdr:spPr>
        <a:xfrm>
          <a:off x="3944696" y="2732425"/>
          <a:ext cx="423334" cy="14431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C8F804C7-1C55-4058-8876-E89E68F2CCEA}" type="TxLink">
            <a:rPr lang="en-US" sz="1000" b="1" i="0" u="none" strike="noStrike">
              <a:solidFill>
                <a:schemeClr val="bg1"/>
              </a:solidFill>
              <a:latin typeface="Calibri"/>
              <a:ea typeface="Calibri"/>
              <a:cs typeface="Calibri"/>
            </a:rPr>
            <a:pPr marL="0" indent="0" algn="l"/>
            <a:t>52%</a:t>
          </a:fld>
          <a:endParaRPr lang="en-IN" sz="1000" b="1" i="0" u="none" strike="noStrike">
            <a:solidFill>
              <a:schemeClr val="bg1"/>
            </a:solidFill>
            <a:latin typeface="Calibri"/>
            <a:ea typeface="Calibri"/>
            <a:cs typeface="Calibri"/>
          </a:endParaRPr>
        </a:p>
      </xdr:txBody>
    </xdr:sp>
    <xdr:clientData/>
  </xdr:twoCellAnchor>
  <xdr:twoCellAnchor>
    <xdr:from>
      <xdr:col>8</xdr:col>
      <xdr:colOff>67348</xdr:colOff>
      <xdr:row>8</xdr:row>
      <xdr:rowOff>48105</xdr:rowOff>
    </xdr:from>
    <xdr:to>
      <xdr:col>11</xdr:col>
      <xdr:colOff>500302</xdr:colOff>
      <xdr:row>15</xdr:row>
      <xdr:rowOff>115455</xdr:rowOff>
    </xdr:to>
    <xdr:graphicFrame macro="">
      <xdr:nvGraphicFramePr>
        <xdr:cNvPr id="54" name="Chart 53">
          <a:extLst>
            <a:ext uri="{FF2B5EF4-FFF2-40B4-BE49-F238E27FC236}">
              <a16:creationId xmlns:a16="http://schemas.microsoft.com/office/drawing/2014/main" id="{AB480274-E3D6-47FD-A0B9-651D0785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233516</xdr:colOff>
      <xdr:row>15</xdr:row>
      <xdr:rowOff>21783</xdr:rowOff>
    </xdr:from>
    <xdr:to>
      <xdr:col>9</xdr:col>
      <xdr:colOff>432955</xdr:colOff>
      <xdr:row>16</xdr:row>
      <xdr:rowOff>96213</xdr:rowOff>
    </xdr:to>
    <xdr:sp macro="" textlink="">
      <xdr:nvSpPr>
        <xdr:cNvPr id="59" name="Rectangle: Rounded Corners 58">
          <a:extLst>
            <a:ext uri="{FF2B5EF4-FFF2-40B4-BE49-F238E27FC236}">
              <a16:creationId xmlns:a16="http://schemas.microsoft.com/office/drawing/2014/main" id="{B230DAA9-1932-430E-8F6F-A4856833A96C}"/>
            </a:ext>
          </a:extLst>
        </xdr:cNvPr>
        <xdr:cNvSpPr/>
      </xdr:nvSpPr>
      <xdr:spPr>
        <a:xfrm>
          <a:off x="5082607" y="2763828"/>
          <a:ext cx="805575" cy="257233"/>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Analysts</a:t>
          </a:r>
        </a:p>
      </xdr:txBody>
    </xdr:sp>
    <xdr:clientData/>
  </xdr:twoCellAnchor>
  <xdr:twoCellAnchor>
    <xdr:from>
      <xdr:col>8</xdr:col>
      <xdr:colOff>144317</xdr:colOff>
      <xdr:row>15</xdr:row>
      <xdr:rowOff>105836</xdr:rowOff>
    </xdr:from>
    <xdr:to>
      <xdr:col>8</xdr:col>
      <xdr:colOff>263117</xdr:colOff>
      <xdr:row>16</xdr:row>
      <xdr:rowOff>41670</xdr:rowOff>
    </xdr:to>
    <xdr:sp macro="" textlink="">
      <xdr:nvSpPr>
        <xdr:cNvPr id="62" name="Oval 61">
          <a:extLst>
            <a:ext uri="{FF2B5EF4-FFF2-40B4-BE49-F238E27FC236}">
              <a16:creationId xmlns:a16="http://schemas.microsoft.com/office/drawing/2014/main" id="{DD7FA7CF-6625-4743-A4FC-83029B79D6C7}"/>
            </a:ext>
          </a:extLst>
        </xdr:cNvPr>
        <xdr:cNvSpPr/>
      </xdr:nvSpPr>
      <xdr:spPr>
        <a:xfrm>
          <a:off x="4993408" y="2847881"/>
          <a:ext cx="118800" cy="118637"/>
        </a:xfrm>
        <a:prstGeom prst="ellipse">
          <a:avLst/>
        </a:prstGeom>
        <a:solidFill>
          <a:srgbClr val="7793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xdr:clientData/>
  </xdr:twoCellAnchor>
  <xdr:twoCellAnchor>
    <xdr:from>
      <xdr:col>8</xdr:col>
      <xdr:colOff>233515</xdr:colOff>
      <xdr:row>16</xdr:row>
      <xdr:rowOff>86590</xdr:rowOff>
    </xdr:from>
    <xdr:to>
      <xdr:col>9</xdr:col>
      <xdr:colOff>432954</xdr:colOff>
      <xdr:row>17</xdr:row>
      <xdr:rowOff>144318</xdr:rowOff>
    </xdr:to>
    <xdr:sp macro="" textlink="">
      <xdr:nvSpPr>
        <xdr:cNvPr id="63" name="Rectangle: Rounded Corners 62">
          <a:extLst>
            <a:ext uri="{FF2B5EF4-FFF2-40B4-BE49-F238E27FC236}">
              <a16:creationId xmlns:a16="http://schemas.microsoft.com/office/drawing/2014/main" id="{9860C30F-57D4-4C6C-80BD-4C89EAC1EA19}"/>
            </a:ext>
          </a:extLst>
        </xdr:cNvPr>
        <xdr:cNvSpPr/>
      </xdr:nvSpPr>
      <xdr:spPr>
        <a:xfrm>
          <a:off x="5082606" y="3011438"/>
          <a:ext cx="805575" cy="24053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Developer</a:t>
          </a:r>
        </a:p>
      </xdr:txBody>
    </xdr:sp>
    <xdr:clientData/>
  </xdr:twoCellAnchor>
  <xdr:twoCellAnchor>
    <xdr:from>
      <xdr:col>9</xdr:col>
      <xdr:colOff>509925</xdr:colOff>
      <xdr:row>16</xdr:row>
      <xdr:rowOff>151400</xdr:rowOff>
    </xdr:from>
    <xdr:to>
      <xdr:col>10</xdr:col>
      <xdr:colOff>22588</xdr:colOff>
      <xdr:row>17</xdr:row>
      <xdr:rowOff>87233</xdr:rowOff>
    </xdr:to>
    <xdr:sp macro="" textlink="">
      <xdr:nvSpPr>
        <xdr:cNvPr id="67" name="Oval 66">
          <a:extLst>
            <a:ext uri="{FF2B5EF4-FFF2-40B4-BE49-F238E27FC236}">
              <a16:creationId xmlns:a16="http://schemas.microsoft.com/office/drawing/2014/main" id="{AB497E8D-C5A1-4036-BF10-66BC8BA0D77B}"/>
            </a:ext>
          </a:extLst>
        </xdr:cNvPr>
        <xdr:cNvSpPr/>
      </xdr:nvSpPr>
      <xdr:spPr>
        <a:xfrm>
          <a:off x="5965152" y="3076248"/>
          <a:ext cx="118800" cy="118637"/>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xdr:clientData/>
  </xdr:twoCellAnchor>
  <xdr:twoCellAnchor>
    <xdr:from>
      <xdr:col>8</xdr:col>
      <xdr:colOff>163560</xdr:colOff>
      <xdr:row>16</xdr:row>
      <xdr:rowOff>170644</xdr:rowOff>
    </xdr:from>
    <xdr:to>
      <xdr:col>8</xdr:col>
      <xdr:colOff>282360</xdr:colOff>
      <xdr:row>17</xdr:row>
      <xdr:rowOff>106477</xdr:rowOff>
    </xdr:to>
    <xdr:sp macro="" textlink="">
      <xdr:nvSpPr>
        <xdr:cNvPr id="69" name="Oval 68">
          <a:extLst>
            <a:ext uri="{FF2B5EF4-FFF2-40B4-BE49-F238E27FC236}">
              <a16:creationId xmlns:a16="http://schemas.microsoft.com/office/drawing/2014/main" id="{F1209A23-306D-43E9-88D2-7B6E6F99624C}"/>
            </a:ext>
          </a:extLst>
        </xdr:cNvPr>
        <xdr:cNvSpPr/>
      </xdr:nvSpPr>
      <xdr:spPr>
        <a:xfrm>
          <a:off x="5012651" y="3095492"/>
          <a:ext cx="118800" cy="118637"/>
        </a:xfrm>
        <a:prstGeom prst="ellipse">
          <a:avLst/>
        </a:prstGeom>
        <a:solidFill>
          <a:srgbClr val="948A5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xdr:clientData/>
  </xdr:twoCellAnchor>
  <xdr:twoCellAnchor>
    <xdr:from>
      <xdr:col>9</xdr:col>
      <xdr:colOff>404091</xdr:colOff>
      <xdr:row>15</xdr:row>
      <xdr:rowOff>19243</xdr:rowOff>
    </xdr:from>
    <xdr:to>
      <xdr:col>10</xdr:col>
      <xdr:colOff>509924</xdr:colOff>
      <xdr:row>16</xdr:row>
      <xdr:rowOff>67349</xdr:rowOff>
    </xdr:to>
    <xdr:sp macro="" textlink="">
      <xdr:nvSpPr>
        <xdr:cNvPr id="88" name="Rectangle: Rounded Corners 87">
          <a:extLst>
            <a:ext uri="{FF2B5EF4-FFF2-40B4-BE49-F238E27FC236}">
              <a16:creationId xmlns:a16="http://schemas.microsoft.com/office/drawing/2014/main" id="{CFC410A1-E0D9-4072-8BB5-191EA852A843}"/>
            </a:ext>
          </a:extLst>
        </xdr:cNvPr>
        <xdr:cNvSpPr/>
      </xdr:nvSpPr>
      <xdr:spPr>
        <a:xfrm>
          <a:off x="5859318" y="2761288"/>
          <a:ext cx="711970" cy="230909"/>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Designer</a:t>
          </a:r>
        </a:p>
      </xdr:txBody>
    </xdr:sp>
    <xdr:clientData/>
  </xdr:twoCellAnchor>
  <xdr:twoCellAnchor>
    <xdr:from>
      <xdr:col>9</xdr:col>
      <xdr:colOff>317499</xdr:colOff>
      <xdr:row>15</xdr:row>
      <xdr:rowOff>93673</xdr:rowOff>
    </xdr:from>
    <xdr:to>
      <xdr:col>9</xdr:col>
      <xdr:colOff>436299</xdr:colOff>
      <xdr:row>16</xdr:row>
      <xdr:rowOff>29507</xdr:rowOff>
    </xdr:to>
    <xdr:sp macro="" textlink="">
      <xdr:nvSpPr>
        <xdr:cNvPr id="92" name="Oval 91">
          <a:extLst>
            <a:ext uri="{FF2B5EF4-FFF2-40B4-BE49-F238E27FC236}">
              <a16:creationId xmlns:a16="http://schemas.microsoft.com/office/drawing/2014/main" id="{9360FC50-4534-4A09-BAE4-11615CF85A70}"/>
            </a:ext>
          </a:extLst>
        </xdr:cNvPr>
        <xdr:cNvSpPr/>
      </xdr:nvSpPr>
      <xdr:spPr>
        <a:xfrm>
          <a:off x="5772726" y="2835718"/>
          <a:ext cx="118800" cy="118637"/>
        </a:xfrm>
        <a:prstGeom prst="ellipse">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xdr:clientData/>
  </xdr:twoCellAnchor>
  <xdr:twoCellAnchor>
    <xdr:from>
      <xdr:col>10</xdr:col>
      <xdr:colOff>38484</xdr:colOff>
      <xdr:row>16</xdr:row>
      <xdr:rowOff>85050</xdr:rowOff>
    </xdr:from>
    <xdr:to>
      <xdr:col>11</xdr:col>
      <xdr:colOff>404091</xdr:colOff>
      <xdr:row>17</xdr:row>
      <xdr:rowOff>105833</xdr:rowOff>
    </xdr:to>
    <xdr:sp macro="" textlink="">
      <xdr:nvSpPr>
        <xdr:cNvPr id="95" name="Rectangle: Rounded Corners 94">
          <a:extLst>
            <a:ext uri="{FF2B5EF4-FFF2-40B4-BE49-F238E27FC236}">
              <a16:creationId xmlns:a16="http://schemas.microsoft.com/office/drawing/2014/main" id="{83361000-F5AC-47A2-9DA0-E3F9EF52DEF6}"/>
            </a:ext>
          </a:extLst>
        </xdr:cNvPr>
        <xdr:cNvSpPr/>
      </xdr:nvSpPr>
      <xdr:spPr>
        <a:xfrm>
          <a:off x="6099848" y="3009898"/>
          <a:ext cx="971743" cy="203587"/>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HR</a:t>
          </a:r>
          <a:r>
            <a:rPr lang="en-IN" sz="1100" b="0" baseline="0"/>
            <a:t> Specialist</a:t>
          </a:r>
          <a:endParaRPr lang="en-IN" sz="1100" b="0"/>
        </a:p>
      </xdr:txBody>
    </xdr:sp>
    <xdr:clientData/>
  </xdr:twoCellAnchor>
  <xdr:twoCellAnchor>
    <xdr:from>
      <xdr:col>10</xdr:col>
      <xdr:colOff>479522</xdr:colOff>
      <xdr:row>15</xdr:row>
      <xdr:rowOff>101755</xdr:rowOff>
    </xdr:from>
    <xdr:to>
      <xdr:col>10</xdr:col>
      <xdr:colOff>598322</xdr:colOff>
      <xdr:row>16</xdr:row>
      <xdr:rowOff>37589</xdr:rowOff>
    </xdr:to>
    <xdr:sp macro="" textlink="">
      <xdr:nvSpPr>
        <xdr:cNvPr id="96" name="Oval 95">
          <a:extLst>
            <a:ext uri="{FF2B5EF4-FFF2-40B4-BE49-F238E27FC236}">
              <a16:creationId xmlns:a16="http://schemas.microsoft.com/office/drawing/2014/main" id="{D8D909D5-997C-4793-8251-FA95F6CDBCCF}"/>
            </a:ext>
          </a:extLst>
        </xdr:cNvPr>
        <xdr:cNvSpPr/>
      </xdr:nvSpPr>
      <xdr:spPr>
        <a:xfrm>
          <a:off x="6540886" y="2843800"/>
          <a:ext cx="118800" cy="118637"/>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xdr:clientData/>
  </xdr:twoCellAnchor>
  <xdr:twoCellAnchor>
    <xdr:from>
      <xdr:col>10</xdr:col>
      <xdr:colOff>596514</xdr:colOff>
      <xdr:row>15</xdr:row>
      <xdr:rowOff>19242</xdr:rowOff>
    </xdr:from>
    <xdr:to>
      <xdr:col>12</xdr:col>
      <xdr:colOff>96211</xdr:colOff>
      <xdr:row>16</xdr:row>
      <xdr:rowOff>48106</xdr:rowOff>
    </xdr:to>
    <xdr:sp macro="" textlink="">
      <xdr:nvSpPr>
        <xdr:cNvPr id="97" name="Rectangle: Rounded Corners 96">
          <a:extLst>
            <a:ext uri="{FF2B5EF4-FFF2-40B4-BE49-F238E27FC236}">
              <a16:creationId xmlns:a16="http://schemas.microsoft.com/office/drawing/2014/main" id="{1723BF6D-2C70-4320-94D4-153919D3EC02}"/>
            </a:ext>
          </a:extLst>
        </xdr:cNvPr>
        <xdr:cNvSpPr/>
      </xdr:nvSpPr>
      <xdr:spPr>
        <a:xfrm>
          <a:off x="6657878" y="2761287"/>
          <a:ext cx="711969" cy="211667"/>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Manager</a:t>
          </a:r>
        </a:p>
      </xdr:txBody>
    </xdr:sp>
    <xdr:clientData/>
  </xdr:twoCellAnchor>
  <xdr:twoCellAnchor>
    <xdr:from>
      <xdr:col>8</xdr:col>
      <xdr:colOff>82948</xdr:colOff>
      <xdr:row>6</xdr:row>
      <xdr:rowOff>153447</xdr:rowOff>
    </xdr:from>
    <xdr:to>
      <xdr:col>11</xdr:col>
      <xdr:colOff>65065</xdr:colOff>
      <xdr:row>8</xdr:row>
      <xdr:rowOff>18587</xdr:rowOff>
    </xdr:to>
    <xdr:sp macro="" textlink="">
      <xdr:nvSpPr>
        <xdr:cNvPr id="99" name="Rectangle: Rounded Corners 98">
          <a:extLst>
            <a:ext uri="{FF2B5EF4-FFF2-40B4-BE49-F238E27FC236}">
              <a16:creationId xmlns:a16="http://schemas.microsoft.com/office/drawing/2014/main" id="{5918440A-AEFD-44BD-B746-80B3BA075D6C}"/>
            </a:ext>
          </a:extLst>
        </xdr:cNvPr>
        <xdr:cNvSpPr/>
      </xdr:nvSpPr>
      <xdr:spPr>
        <a:xfrm>
          <a:off x="4990745" y="1251244"/>
          <a:ext cx="1822540" cy="23107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bg2">
                  <a:lumMod val="50000"/>
                </a:schemeClr>
              </a:solidFill>
            </a:rPr>
            <a:t>Leave</a:t>
          </a:r>
          <a:r>
            <a:rPr lang="en-IN" sz="1200" b="0" baseline="0">
              <a:solidFill>
                <a:schemeClr val="bg2">
                  <a:lumMod val="50000"/>
                </a:schemeClr>
              </a:solidFill>
            </a:rPr>
            <a:t> taken by job title</a:t>
          </a:r>
          <a:endParaRPr lang="en-IN" sz="1200" b="0">
            <a:solidFill>
              <a:schemeClr val="bg2">
                <a:lumMod val="50000"/>
              </a:schemeClr>
            </a:solidFill>
          </a:endParaRPr>
        </a:p>
      </xdr:txBody>
    </xdr:sp>
    <xdr:clientData/>
  </xdr:twoCellAnchor>
  <xdr:twoCellAnchor>
    <xdr:from>
      <xdr:col>12</xdr:col>
      <xdr:colOff>307880</xdr:colOff>
      <xdr:row>10</xdr:row>
      <xdr:rowOff>28864</xdr:rowOff>
    </xdr:from>
    <xdr:to>
      <xdr:col>16</xdr:col>
      <xdr:colOff>182804</xdr:colOff>
      <xdr:row>16</xdr:row>
      <xdr:rowOff>57728</xdr:rowOff>
    </xdr:to>
    <xdr:graphicFrame macro="">
      <xdr:nvGraphicFramePr>
        <xdr:cNvPr id="100" name="Chart 99">
          <a:extLst>
            <a:ext uri="{FF2B5EF4-FFF2-40B4-BE49-F238E27FC236}">
              <a16:creationId xmlns:a16="http://schemas.microsoft.com/office/drawing/2014/main" id="{F027C41D-CD93-4641-9D48-DD544C9CB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258235</xdr:colOff>
      <xdr:row>7</xdr:row>
      <xdr:rowOff>43590</xdr:rowOff>
    </xdr:from>
    <xdr:to>
      <xdr:col>15</xdr:col>
      <xdr:colOff>153940</xdr:colOff>
      <xdr:row>8</xdr:row>
      <xdr:rowOff>153939</xdr:rowOff>
    </xdr:to>
    <xdr:sp macro="" textlink="">
      <xdr:nvSpPr>
        <xdr:cNvPr id="101" name="Rectangle: Rounded Corners 100">
          <a:extLst>
            <a:ext uri="{FF2B5EF4-FFF2-40B4-BE49-F238E27FC236}">
              <a16:creationId xmlns:a16="http://schemas.microsoft.com/office/drawing/2014/main" id="{19317CA6-8907-4720-83BA-6253C3E317EB}"/>
            </a:ext>
          </a:extLst>
        </xdr:cNvPr>
        <xdr:cNvSpPr/>
      </xdr:nvSpPr>
      <xdr:spPr>
        <a:xfrm>
          <a:off x="7531871" y="1323211"/>
          <a:ext cx="1714114" cy="29315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4"/>
              </a:solidFill>
            </a:rPr>
            <a:t>Regions</a:t>
          </a:r>
          <a:endParaRPr lang="en-IN" sz="1100" b="1">
            <a:solidFill>
              <a:schemeClr val="accent4"/>
            </a:solidFill>
          </a:endParaRPr>
        </a:p>
      </xdr:txBody>
    </xdr:sp>
    <xdr:clientData/>
  </xdr:twoCellAnchor>
  <xdr:twoCellAnchor>
    <xdr:from>
      <xdr:col>12</xdr:col>
      <xdr:colOff>259775</xdr:colOff>
      <xdr:row>8</xdr:row>
      <xdr:rowOff>125075</xdr:rowOff>
    </xdr:from>
    <xdr:to>
      <xdr:col>14</xdr:col>
      <xdr:colOff>481062</xdr:colOff>
      <xdr:row>9</xdr:row>
      <xdr:rowOff>173181</xdr:rowOff>
    </xdr:to>
    <xdr:sp macro="" textlink="">
      <xdr:nvSpPr>
        <xdr:cNvPr id="102" name="Rectangle: Rounded Corners 101">
          <a:extLst>
            <a:ext uri="{FF2B5EF4-FFF2-40B4-BE49-F238E27FC236}">
              <a16:creationId xmlns:a16="http://schemas.microsoft.com/office/drawing/2014/main" id="{613291E3-11B7-4196-B6EA-7A54B661A7B4}"/>
            </a:ext>
          </a:extLst>
        </xdr:cNvPr>
        <xdr:cNvSpPr/>
      </xdr:nvSpPr>
      <xdr:spPr>
        <a:xfrm>
          <a:off x="7533411" y="1587499"/>
          <a:ext cx="1433560" cy="230909"/>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solidFill>
                <a:schemeClr val="bg2">
                  <a:lumMod val="75000"/>
                </a:schemeClr>
              </a:solidFill>
            </a:rPr>
            <a:t>Employees</a:t>
          </a:r>
          <a:r>
            <a:rPr lang="en-IN" sz="1100" b="0" baseline="0">
              <a:solidFill>
                <a:schemeClr val="bg2">
                  <a:lumMod val="75000"/>
                </a:schemeClr>
              </a:solidFill>
            </a:rPr>
            <a:t> per region</a:t>
          </a:r>
          <a:endParaRPr lang="en-IN" sz="1100" b="0">
            <a:solidFill>
              <a:schemeClr val="bg2">
                <a:lumMod val="75000"/>
              </a:schemeClr>
            </a:solidFill>
          </a:endParaRPr>
        </a:p>
      </xdr:txBody>
    </xdr:sp>
    <xdr:clientData/>
  </xdr:twoCellAnchor>
  <xdr:twoCellAnchor>
    <xdr:from>
      <xdr:col>12</xdr:col>
      <xdr:colOff>279830</xdr:colOff>
      <xdr:row>2</xdr:row>
      <xdr:rowOff>144320</xdr:rowOff>
    </xdr:from>
    <xdr:to>
      <xdr:col>13</xdr:col>
      <xdr:colOff>577270</xdr:colOff>
      <xdr:row>5</xdr:row>
      <xdr:rowOff>116897</xdr:rowOff>
    </xdr:to>
    <xdr:sp macro="" textlink="'Pivot Tables'!Z19">
      <xdr:nvSpPr>
        <xdr:cNvPr id="16" name="Rectangle: Rounded Corners 15">
          <a:extLst>
            <a:ext uri="{FF2B5EF4-FFF2-40B4-BE49-F238E27FC236}">
              <a16:creationId xmlns:a16="http://schemas.microsoft.com/office/drawing/2014/main" id="{44DEFD71-A35F-4C00-99DD-74CAFD3F7D3E}"/>
            </a:ext>
          </a:extLst>
        </xdr:cNvPr>
        <xdr:cNvSpPr/>
      </xdr:nvSpPr>
      <xdr:spPr>
        <a:xfrm>
          <a:off x="7641525" y="510252"/>
          <a:ext cx="910914" cy="521476"/>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3D4570D1-CB59-4F9D-ABF1-0BE3AA0B0847}" type="TxLink">
            <a:rPr lang="en-US" sz="4000" b="1" i="0" u="none" strike="noStrike">
              <a:solidFill>
                <a:schemeClr val="bg1"/>
              </a:solidFill>
              <a:latin typeface="Calibri"/>
              <a:ea typeface="Calibri"/>
              <a:cs typeface="Calibri"/>
            </a:rPr>
            <a:pPr marL="0" indent="0" algn="l"/>
            <a:t>2.6</a:t>
          </a:fld>
          <a:endParaRPr lang="en-IN" sz="4000" b="1" i="0" u="none" strike="noStrike">
            <a:solidFill>
              <a:schemeClr val="bg1"/>
            </a:solidFill>
            <a:latin typeface="Calibri"/>
            <a:ea typeface="Calibri"/>
            <a:cs typeface="Calibri"/>
          </a:endParaRPr>
        </a:p>
      </xdr:txBody>
    </xdr:sp>
    <xdr:clientData/>
  </xdr:twoCellAnchor>
  <xdr:twoCellAnchor>
    <xdr:from>
      <xdr:col>12</xdr:col>
      <xdr:colOff>259772</xdr:colOff>
      <xdr:row>5</xdr:row>
      <xdr:rowOff>82312</xdr:rowOff>
    </xdr:from>
    <xdr:to>
      <xdr:col>14</xdr:col>
      <xdr:colOff>173181</xdr:colOff>
      <xdr:row>6</xdr:row>
      <xdr:rowOff>115455</xdr:rowOff>
    </xdr:to>
    <xdr:sp macro="" textlink="">
      <xdr:nvSpPr>
        <xdr:cNvPr id="38" name="Rectangle: Rounded Corners 37">
          <a:extLst>
            <a:ext uri="{FF2B5EF4-FFF2-40B4-BE49-F238E27FC236}">
              <a16:creationId xmlns:a16="http://schemas.microsoft.com/office/drawing/2014/main" id="{FAF59BDC-6FA7-4EBC-A63B-DA568665DDCA}"/>
            </a:ext>
          </a:extLst>
        </xdr:cNvPr>
        <xdr:cNvSpPr/>
      </xdr:nvSpPr>
      <xdr:spPr>
        <a:xfrm>
          <a:off x="7533408" y="996327"/>
          <a:ext cx="1125682" cy="215946"/>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chemeClr val="bg1"/>
              </a:solidFill>
            </a:rPr>
            <a:t>Average</a:t>
          </a:r>
          <a:r>
            <a:rPr lang="en-IN" sz="1050" b="1" baseline="0">
              <a:solidFill>
                <a:schemeClr val="accent4"/>
              </a:solidFill>
            </a:rPr>
            <a:t> </a:t>
          </a:r>
          <a:r>
            <a:rPr lang="en-IN" sz="1050" b="1" baseline="0">
              <a:solidFill>
                <a:schemeClr val="bg1"/>
              </a:solidFill>
            </a:rPr>
            <a:t>Rating</a:t>
          </a:r>
          <a:endParaRPr lang="en-IN" sz="900" b="1">
            <a:solidFill>
              <a:schemeClr val="bg1"/>
            </a:solidFill>
          </a:endParaRPr>
        </a:p>
      </xdr:txBody>
    </xdr:sp>
    <xdr:clientData/>
  </xdr:twoCellAnchor>
  <xdr:twoCellAnchor>
    <xdr:from>
      <xdr:col>12</xdr:col>
      <xdr:colOff>265482</xdr:colOff>
      <xdr:row>0</xdr:row>
      <xdr:rowOff>132400</xdr:rowOff>
    </xdr:from>
    <xdr:to>
      <xdr:col>15</xdr:col>
      <xdr:colOff>161187</xdr:colOff>
      <xdr:row>2</xdr:row>
      <xdr:rowOff>59946</xdr:rowOff>
    </xdr:to>
    <xdr:sp macro="" textlink="">
      <xdr:nvSpPr>
        <xdr:cNvPr id="60" name="Rectangle: Rounded Corners 59">
          <a:extLst>
            <a:ext uri="{FF2B5EF4-FFF2-40B4-BE49-F238E27FC236}">
              <a16:creationId xmlns:a16="http://schemas.microsoft.com/office/drawing/2014/main" id="{7C429BAA-B88D-4AC6-B08A-9E3359108A75}"/>
            </a:ext>
          </a:extLst>
        </xdr:cNvPr>
        <xdr:cNvSpPr/>
      </xdr:nvSpPr>
      <xdr:spPr>
        <a:xfrm>
          <a:off x="7627177" y="132400"/>
          <a:ext cx="1736129" cy="293478"/>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4"/>
              </a:solidFill>
            </a:rPr>
            <a:t>Performance</a:t>
          </a:r>
          <a:r>
            <a:rPr lang="en-IN" sz="1400" b="1" baseline="0">
              <a:solidFill>
                <a:schemeClr val="accent4"/>
              </a:solidFill>
            </a:rPr>
            <a:t> Rating</a:t>
          </a:r>
          <a:endParaRPr lang="en-IN" sz="1100" b="1">
            <a:solidFill>
              <a:schemeClr val="accent4"/>
            </a:solidFill>
          </a:endParaRPr>
        </a:p>
      </xdr:txBody>
    </xdr:sp>
    <xdr:clientData/>
  </xdr:twoCellAnchor>
  <xdr:twoCellAnchor>
    <xdr:from>
      <xdr:col>12</xdr:col>
      <xdr:colOff>301356</xdr:colOff>
      <xdr:row>1</xdr:row>
      <xdr:rowOff>173181</xdr:rowOff>
    </xdr:from>
    <xdr:to>
      <xdr:col>15</xdr:col>
      <xdr:colOff>240530</xdr:colOff>
      <xdr:row>3</xdr:row>
      <xdr:rowOff>43051</xdr:rowOff>
    </xdr:to>
    <xdr:sp macro="" textlink="">
      <xdr:nvSpPr>
        <xdr:cNvPr id="61" name="Rectangle: Rounded Corners 60">
          <a:extLst>
            <a:ext uri="{FF2B5EF4-FFF2-40B4-BE49-F238E27FC236}">
              <a16:creationId xmlns:a16="http://schemas.microsoft.com/office/drawing/2014/main" id="{78095DFA-00C0-457D-AB11-E2906D6A99EC}"/>
            </a:ext>
          </a:extLst>
        </xdr:cNvPr>
        <xdr:cNvSpPr/>
      </xdr:nvSpPr>
      <xdr:spPr>
        <a:xfrm>
          <a:off x="7663051" y="356147"/>
          <a:ext cx="1779598" cy="235802"/>
        </a:xfrm>
        <a:prstGeom prst="roundRect">
          <a:avLst>
            <a:gd name="adj" fmla="val 1151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solidFill>
                <a:schemeClr val="bg2">
                  <a:lumMod val="75000"/>
                </a:schemeClr>
              </a:solidFill>
            </a:rPr>
            <a:t>Average</a:t>
          </a:r>
          <a:r>
            <a:rPr lang="en-IN" sz="1100" b="0" baseline="0">
              <a:solidFill>
                <a:schemeClr val="bg2">
                  <a:lumMod val="75000"/>
                </a:schemeClr>
              </a:solidFill>
            </a:rPr>
            <a:t> performance rating</a:t>
          </a:r>
          <a:endParaRPr lang="en-IN" sz="1100" b="0">
            <a:solidFill>
              <a:schemeClr val="bg2">
                <a:lumMod val="75000"/>
              </a:schemeClr>
            </a:solidFill>
          </a:endParaRPr>
        </a:p>
      </xdr:txBody>
    </xdr:sp>
    <xdr:clientData/>
  </xdr:twoCellAnchor>
  <xdr:twoCellAnchor>
    <xdr:from>
      <xdr:col>0</xdr:col>
      <xdr:colOff>259773</xdr:colOff>
      <xdr:row>9</xdr:row>
      <xdr:rowOff>86591</xdr:rowOff>
    </xdr:from>
    <xdr:to>
      <xdr:col>0</xdr:col>
      <xdr:colOff>259773</xdr:colOff>
      <xdr:row>11</xdr:row>
      <xdr:rowOff>125077</xdr:rowOff>
    </xdr:to>
    <xdr:cxnSp macro="">
      <xdr:nvCxnSpPr>
        <xdr:cNvPr id="113" name="Straight Connector 112">
          <a:extLst>
            <a:ext uri="{FF2B5EF4-FFF2-40B4-BE49-F238E27FC236}">
              <a16:creationId xmlns:a16="http://schemas.microsoft.com/office/drawing/2014/main" id="{EBFBD411-AAAC-D3C8-E149-D4C2AA3D4B9C}"/>
            </a:ext>
          </a:extLst>
        </xdr:cNvPr>
        <xdr:cNvCxnSpPr/>
      </xdr:nvCxnSpPr>
      <xdr:spPr>
        <a:xfrm flipV="1">
          <a:off x="259773" y="1731818"/>
          <a:ext cx="0" cy="404092"/>
        </a:xfrm>
        <a:prstGeom prst="line">
          <a:avLst/>
        </a:prstGeom>
        <a:ln w="25400" cap="rnd">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45568</xdr:colOff>
      <xdr:row>0</xdr:row>
      <xdr:rowOff>0</xdr:rowOff>
    </xdr:from>
    <xdr:to>
      <xdr:col>1</xdr:col>
      <xdr:colOff>344406</xdr:colOff>
      <xdr:row>2</xdr:row>
      <xdr:rowOff>139915</xdr:rowOff>
    </xdr:to>
    <xdr:sp macro="" textlink="">
      <xdr:nvSpPr>
        <xdr:cNvPr id="118" name="Rectangle: Rounded Corners 117">
          <a:extLst>
            <a:ext uri="{FF2B5EF4-FFF2-40B4-BE49-F238E27FC236}">
              <a16:creationId xmlns:a16="http://schemas.microsoft.com/office/drawing/2014/main" id="{14DC8A63-C802-4FB3-839E-D610747D7926}"/>
            </a:ext>
          </a:extLst>
        </xdr:cNvPr>
        <xdr:cNvSpPr/>
      </xdr:nvSpPr>
      <xdr:spPr>
        <a:xfrm>
          <a:off x="45568" y="0"/>
          <a:ext cx="912313" cy="505847"/>
        </a:xfrm>
        <a:prstGeom prst="roundRect">
          <a:avLst>
            <a:gd name="adj" fmla="val 1151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accent4"/>
              </a:solidFill>
            </a:rPr>
            <a:t>HR</a:t>
          </a:r>
          <a:endParaRPr lang="en-IN" sz="3600" b="1">
            <a:solidFill>
              <a:schemeClr val="accent4"/>
            </a:solidFill>
          </a:endParaRPr>
        </a:p>
      </xdr:txBody>
    </xdr:sp>
    <xdr:clientData/>
  </xdr:twoCellAnchor>
  <xdr:twoCellAnchor>
    <xdr:from>
      <xdr:col>0</xdr:col>
      <xdr:colOff>45569</xdr:colOff>
      <xdr:row>2</xdr:row>
      <xdr:rowOff>106484</xdr:rowOff>
    </xdr:from>
    <xdr:to>
      <xdr:col>2</xdr:col>
      <xdr:colOff>554749</xdr:colOff>
      <xdr:row>4</xdr:row>
      <xdr:rowOff>96862</xdr:rowOff>
    </xdr:to>
    <xdr:sp macro="" textlink="">
      <xdr:nvSpPr>
        <xdr:cNvPr id="120" name="Rectangle: Rounded Corners 119">
          <a:extLst>
            <a:ext uri="{FF2B5EF4-FFF2-40B4-BE49-F238E27FC236}">
              <a16:creationId xmlns:a16="http://schemas.microsoft.com/office/drawing/2014/main" id="{341EEEE8-AA44-45B0-8C22-4E19D1749AF2}"/>
            </a:ext>
          </a:extLst>
        </xdr:cNvPr>
        <xdr:cNvSpPr/>
      </xdr:nvSpPr>
      <xdr:spPr>
        <a:xfrm>
          <a:off x="45569" y="472416"/>
          <a:ext cx="1736129" cy="356310"/>
        </a:xfrm>
        <a:prstGeom prst="roundRect">
          <a:avLst>
            <a:gd name="adj" fmla="val 1151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4"/>
              </a:solidFill>
            </a:rPr>
            <a:t>Dashboard</a:t>
          </a:r>
          <a:endParaRPr lang="en-IN" sz="1600" b="1">
            <a:solidFill>
              <a:schemeClr val="accent4"/>
            </a:solidFill>
          </a:endParaRPr>
        </a:p>
      </xdr:txBody>
    </xdr:sp>
    <xdr:clientData/>
  </xdr:twoCellAnchor>
  <xdr:twoCellAnchor>
    <xdr:from>
      <xdr:col>0</xdr:col>
      <xdr:colOff>77857</xdr:colOff>
      <xdr:row>4</xdr:row>
      <xdr:rowOff>10762</xdr:rowOff>
    </xdr:from>
    <xdr:to>
      <xdr:col>4</xdr:col>
      <xdr:colOff>452034</xdr:colOff>
      <xdr:row>5</xdr:row>
      <xdr:rowOff>96865</xdr:rowOff>
    </xdr:to>
    <xdr:sp macro="" textlink="">
      <xdr:nvSpPr>
        <xdr:cNvPr id="126" name="Rectangle: Rounded Corners 125">
          <a:extLst>
            <a:ext uri="{FF2B5EF4-FFF2-40B4-BE49-F238E27FC236}">
              <a16:creationId xmlns:a16="http://schemas.microsoft.com/office/drawing/2014/main" id="{2DB7DBA9-4EDD-4495-8C45-48066C9657EC}"/>
            </a:ext>
          </a:extLst>
        </xdr:cNvPr>
        <xdr:cNvSpPr/>
      </xdr:nvSpPr>
      <xdr:spPr>
        <a:xfrm>
          <a:off x="77857" y="742626"/>
          <a:ext cx="2828075" cy="269070"/>
        </a:xfrm>
        <a:prstGeom prst="roundRect">
          <a:avLst>
            <a:gd name="adj" fmla="val 1151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solidFill>
                <a:schemeClr val="bg2">
                  <a:lumMod val="75000"/>
                </a:schemeClr>
              </a:solidFill>
            </a:rPr>
            <a:t>Analyze</a:t>
          </a:r>
          <a:r>
            <a:rPr lang="en-IN" sz="1100" b="0" baseline="0">
              <a:solidFill>
                <a:schemeClr val="bg2">
                  <a:lumMod val="75000"/>
                </a:schemeClr>
              </a:solidFill>
            </a:rPr>
            <a:t> and monitor the HR </a:t>
          </a:r>
          <a:r>
            <a:rPr lang="en-IN" sz="1400" b="0" baseline="0">
              <a:solidFill>
                <a:schemeClr val="bg2">
                  <a:lumMod val="75000"/>
                </a:schemeClr>
              </a:solidFill>
            </a:rPr>
            <a:t>department</a:t>
          </a:r>
          <a:endParaRPr lang="en-IN" sz="1400" b="0">
            <a:solidFill>
              <a:schemeClr val="bg2">
                <a:lumMod val="75000"/>
              </a:schemeClr>
            </a:solidFill>
          </a:endParaRPr>
        </a:p>
      </xdr:txBody>
    </xdr:sp>
    <xdr:clientData/>
  </xdr:twoCellAnchor>
  <xdr:twoCellAnchor editAs="oneCell">
    <xdr:from>
      <xdr:col>5</xdr:col>
      <xdr:colOff>182965</xdr:colOff>
      <xdr:row>0</xdr:row>
      <xdr:rowOff>86102</xdr:rowOff>
    </xdr:from>
    <xdr:to>
      <xdr:col>8</xdr:col>
      <xdr:colOff>43050</xdr:colOff>
      <xdr:row>4</xdr:row>
      <xdr:rowOff>10764</xdr:rowOff>
    </xdr:to>
    <mc:AlternateContent xmlns:mc="http://schemas.openxmlformats.org/markup-compatibility/2006">
      <mc:Choice xmlns:a14="http://schemas.microsoft.com/office/drawing/2010/main" Requires="a14">
        <xdr:graphicFrame macro="">
          <xdr:nvGraphicFramePr>
            <xdr:cNvPr id="68" name="Gender 1">
              <a:extLst>
                <a:ext uri="{FF2B5EF4-FFF2-40B4-BE49-F238E27FC236}">
                  <a16:creationId xmlns:a16="http://schemas.microsoft.com/office/drawing/2014/main" id="{4F1620DA-3FCA-4F33-B906-460ACFCD1C8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248482" y="86102"/>
              <a:ext cx="1699396" cy="669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193728</xdr:colOff>
      <xdr:row>0</xdr:row>
      <xdr:rowOff>64574</xdr:rowOff>
    </xdr:from>
    <xdr:to>
      <xdr:col>7</xdr:col>
      <xdr:colOff>107627</xdr:colOff>
      <xdr:row>1</xdr:row>
      <xdr:rowOff>129153</xdr:rowOff>
    </xdr:to>
    <xdr:sp macro="" textlink="">
      <xdr:nvSpPr>
        <xdr:cNvPr id="98" name="TextBox 97">
          <a:extLst>
            <a:ext uri="{FF2B5EF4-FFF2-40B4-BE49-F238E27FC236}">
              <a16:creationId xmlns:a16="http://schemas.microsoft.com/office/drawing/2014/main" id="{B867DF59-DECB-409B-71A7-80581F7F29EB}"/>
            </a:ext>
          </a:extLst>
        </xdr:cNvPr>
        <xdr:cNvSpPr txBox="1"/>
      </xdr:nvSpPr>
      <xdr:spPr>
        <a:xfrm>
          <a:off x="3261101" y="64574"/>
          <a:ext cx="1140848" cy="247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Filters</a:t>
          </a:r>
          <a:r>
            <a:rPr lang="en-IN" sz="1100" baseline="0">
              <a:solidFill>
                <a:schemeClr val="bg1"/>
              </a:solidFill>
            </a:rPr>
            <a:t> by gender</a:t>
          </a:r>
          <a:endParaRPr lang="en-IN" sz="1100">
            <a:solidFill>
              <a:schemeClr val="bg1"/>
            </a:solidFill>
          </a:endParaRPr>
        </a:p>
      </xdr:txBody>
    </xdr:sp>
    <xdr:clientData/>
  </xdr:twoCellAnchor>
  <xdr:twoCellAnchor editAs="oneCell">
    <xdr:from>
      <xdr:col>8</xdr:col>
      <xdr:colOff>10759</xdr:colOff>
      <xdr:row>0</xdr:row>
      <xdr:rowOff>0</xdr:rowOff>
    </xdr:from>
    <xdr:to>
      <xdr:col>12</xdr:col>
      <xdr:colOff>258303</xdr:colOff>
      <xdr:row>5</xdr:row>
      <xdr:rowOff>53814</xdr:rowOff>
    </xdr:to>
    <mc:AlternateContent xmlns:mc="http://schemas.openxmlformats.org/markup-compatibility/2006">
      <mc:Choice xmlns:a14="http://schemas.microsoft.com/office/drawing/2010/main" Requires="a14">
        <xdr:graphicFrame macro="">
          <xdr:nvGraphicFramePr>
            <xdr:cNvPr id="103" name="Department">
              <a:extLst>
                <a:ext uri="{FF2B5EF4-FFF2-40B4-BE49-F238E27FC236}">
                  <a16:creationId xmlns:a16="http://schemas.microsoft.com/office/drawing/2014/main" id="{DB3930AA-AC9B-417E-891A-02BE680DC53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915587" y="0"/>
              <a:ext cx="2699957" cy="984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118389</xdr:colOff>
      <xdr:row>0</xdr:row>
      <xdr:rowOff>96863</xdr:rowOff>
    </xdr:from>
    <xdr:to>
      <xdr:col>10</xdr:col>
      <xdr:colOff>538134</xdr:colOff>
      <xdr:row>1</xdr:row>
      <xdr:rowOff>139915</xdr:rowOff>
    </xdr:to>
    <xdr:sp macro="" textlink="">
      <xdr:nvSpPr>
        <xdr:cNvPr id="104" name="TextBox 103">
          <a:extLst>
            <a:ext uri="{FF2B5EF4-FFF2-40B4-BE49-F238E27FC236}">
              <a16:creationId xmlns:a16="http://schemas.microsoft.com/office/drawing/2014/main" id="{3C679286-9645-3023-29F8-A79A66AE07EB}"/>
            </a:ext>
          </a:extLst>
        </xdr:cNvPr>
        <xdr:cNvSpPr txBox="1"/>
      </xdr:nvSpPr>
      <xdr:spPr>
        <a:xfrm>
          <a:off x="5026186" y="96863"/>
          <a:ext cx="1646694" cy="2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Filters</a:t>
          </a:r>
          <a:r>
            <a:rPr lang="en-IN" sz="1100" baseline="0">
              <a:solidFill>
                <a:schemeClr val="bg1"/>
              </a:solidFill>
            </a:rPr>
            <a:t> by departments</a:t>
          </a:r>
          <a:endParaRPr lang="en-IN" sz="1100">
            <a:solidFill>
              <a:schemeClr val="bg1"/>
            </a:solidFill>
          </a:endParaRPr>
        </a:p>
      </xdr:txBody>
    </xdr:sp>
    <xdr:clientData/>
  </xdr:twoCellAnchor>
  <xdr:twoCellAnchor editAs="oneCell">
    <xdr:from>
      <xdr:col>6</xdr:col>
      <xdr:colOff>1</xdr:colOff>
      <xdr:row>5</xdr:row>
      <xdr:rowOff>161440</xdr:rowOff>
    </xdr:from>
    <xdr:to>
      <xdr:col>7</xdr:col>
      <xdr:colOff>355169</xdr:colOff>
      <xdr:row>10</xdr:row>
      <xdr:rowOff>86102</xdr:rowOff>
    </xdr:to>
    <xdr:pic>
      <xdr:nvPicPr>
        <xdr:cNvPr id="106" name="Picture 105">
          <a:extLst>
            <a:ext uri="{FF2B5EF4-FFF2-40B4-BE49-F238E27FC236}">
              <a16:creationId xmlns:a16="http://schemas.microsoft.com/office/drawing/2014/main" id="{8447D9EF-4BA3-DAEE-3FEC-B65035B29908}"/>
            </a:ext>
          </a:extLst>
        </xdr:cNvPr>
        <xdr:cNvPicPr>
          <a:picLocks noChangeAspect="1"/>
        </xdr:cNvPicPr>
      </xdr:nvPicPr>
      <xdr:blipFill>
        <a:blip xmlns:r="http://schemas.openxmlformats.org/officeDocument/2006/relationships" r:embed="rId10"/>
        <a:stretch>
          <a:fillRect/>
        </a:stretch>
      </xdr:blipFill>
      <xdr:spPr>
        <a:xfrm>
          <a:off x="3680848" y="1076271"/>
          <a:ext cx="968643" cy="839492"/>
        </a:xfrm>
        <a:prstGeom prst="rect">
          <a:avLst/>
        </a:prstGeom>
      </xdr:spPr>
    </xdr:pic>
    <xdr:clientData/>
  </xdr:twoCellAnchor>
  <xdr:twoCellAnchor editAs="oneCell">
    <xdr:from>
      <xdr:col>25</xdr:col>
      <xdr:colOff>171936</xdr:colOff>
      <xdr:row>9</xdr:row>
      <xdr:rowOff>107585</xdr:rowOff>
    </xdr:from>
    <xdr:to>
      <xdr:col>25</xdr:col>
      <xdr:colOff>172296</xdr:colOff>
      <xdr:row>9</xdr:row>
      <xdr:rowOff>107945</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110" name="Ink 109">
              <a:extLst>
                <a:ext uri="{FF2B5EF4-FFF2-40B4-BE49-F238E27FC236}">
                  <a16:creationId xmlns:a16="http://schemas.microsoft.com/office/drawing/2014/main" id="{8A16D5A0-ADD1-17B5-34A4-F0CA9C542125}"/>
                </a:ext>
              </a:extLst>
            </xdr14:cNvPr>
            <xdr14:cNvContentPartPr/>
          </xdr14:nvContentPartPr>
          <xdr14:nvPr macro=""/>
          <xdr14:xfrm>
            <a:off x="15508800" y="1754280"/>
            <a:ext cx="360" cy="360"/>
          </xdr14:xfrm>
        </xdr:contentPart>
      </mc:Choice>
      <mc:Fallback>
        <xdr:pic>
          <xdr:nvPicPr>
            <xdr:cNvPr id="110" name="Ink 109">
              <a:extLst>
                <a:ext uri="{FF2B5EF4-FFF2-40B4-BE49-F238E27FC236}">
                  <a16:creationId xmlns:a16="http://schemas.microsoft.com/office/drawing/2014/main" id="{8A16D5A0-ADD1-17B5-34A4-F0CA9C542125}"/>
                </a:ext>
              </a:extLst>
            </xdr:cNvPr>
            <xdr:cNvPicPr/>
          </xdr:nvPicPr>
          <xdr:blipFill>
            <a:blip xmlns:r="http://schemas.openxmlformats.org/officeDocument/2006/relationships" r:embed="rId12"/>
            <a:stretch>
              <a:fillRect/>
            </a:stretch>
          </xdr:blipFill>
          <xdr:spPr>
            <a:xfrm>
              <a:off x="15502680" y="1748160"/>
              <a:ext cx="12600" cy="12600"/>
            </a:xfrm>
            <a:prstGeom prst="rect">
              <a:avLst/>
            </a:prstGeom>
          </xdr:spPr>
        </xdr:pic>
      </mc:Fallback>
    </mc:AlternateContent>
    <xdr:clientData/>
  </xdr:twoCellAnchor>
  <xdr:twoCellAnchor editAs="oneCell">
    <xdr:from>
      <xdr:col>6</xdr:col>
      <xdr:colOff>344313</xdr:colOff>
      <xdr:row>8</xdr:row>
      <xdr:rowOff>107671</xdr:rowOff>
    </xdr:from>
    <xdr:to>
      <xdr:col>6</xdr:col>
      <xdr:colOff>344673</xdr:colOff>
      <xdr:row>8</xdr:row>
      <xdr:rowOff>108031</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116" name="Ink 115">
              <a:extLst>
                <a:ext uri="{FF2B5EF4-FFF2-40B4-BE49-F238E27FC236}">
                  <a16:creationId xmlns:a16="http://schemas.microsoft.com/office/drawing/2014/main" id="{21F77B19-065E-2F94-6B3B-6A55E48A4AEF}"/>
                </a:ext>
              </a:extLst>
            </xdr14:cNvPr>
            <xdr14:cNvContentPartPr/>
          </xdr14:nvContentPartPr>
          <xdr14:nvPr macro=""/>
          <xdr14:xfrm>
            <a:off x="4025160" y="1571400"/>
            <a:ext cx="360" cy="360"/>
          </xdr14:xfrm>
        </xdr:contentPart>
      </mc:Choice>
      <mc:Fallback>
        <xdr:pic>
          <xdr:nvPicPr>
            <xdr:cNvPr id="116" name="Ink 115">
              <a:extLst>
                <a:ext uri="{FF2B5EF4-FFF2-40B4-BE49-F238E27FC236}">
                  <a16:creationId xmlns:a16="http://schemas.microsoft.com/office/drawing/2014/main" id="{21F77B19-065E-2F94-6B3B-6A55E48A4AEF}"/>
                </a:ext>
              </a:extLst>
            </xdr:cNvPr>
            <xdr:cNvPicPr/>
          </xdr:nvPicPr>
          <xdr:blipFill>
            <a:blip xmlns:r="http://schemas.openxmlformats.org/officeDocument/2006/relationships" r:embed="rId12"/>
            <a:stretch>
              <a:fillRect/>
            </a:stretch>
          </xdr:blipFill>
          <xdr:spPr>
            <a:xfrm>
              <a:off x="4019040" y="1565280"/>
              <a:ext cx="12600" cy="12600"/>
            </a:xfrm>
            <a:prstGeom prst="rect">
              <a:avLst/>
            </a:prstGeom>
          </xdr:spPr>
        </xdr:pic>
      </mc:Fallback>
    </mc:AlternateContent>
    <xdr:clientData/>
  </xdr:twoCellAnchor>
  <xdr:twoCellAnchor editAs="oneCell">
    <xdr:from>
      <xdr:col>1</xdr:col>
      <xdr:colOff>215254</xdr:colOff>
      <xdr:row>5</xdr:row>
      <xdr:rowOff>139915</xdr:rowOff>
    </xdr:from>
    <xdr:to>
      <xdr:col>3</xdr:col>
      <xdr:colOff>161440</xdr:colOff>
      <xdr:row>10</xdr:row>
      <xdr:rowOff>96864</xdr:rowOff>
    </xdr:to>
    <xdr:pic>
      <xdr:nvPicPr>
        <xdr:cNvPr id="125" name="Picture 124">
          <a:extLst>
            <a:ext uri="{FF2B5EF4-FFF2-40B4-BE49-F238E27FC236}">
              <a16:creationId xmlns:a16="http://schemas.microsoft.com/office/drawing/2014/main" id="{FA419EDA-ABEB-EB14-B423-D22310A64E77}"/>
            </a:ext>
          </a:extLst>
        </xdr:cNvPr>
        <xdr:cNvPicPr>
          <a:picLocks noChangeAspect="1"/>
        </xdr:cNvPicPr>
      </xdr:nvPicPr>
      <xdr:blipFill>
        <a:blip xmlns:r="http://schemas.openxmlformats.org/officeDocument/2006/relationships" r:embed="rId14"/>
        <a:stretch>
          <a:fillRect/>
        </a:stretch>
      </xdr:blipFill>
      <xdr:spPr>
        <a:xfrm>
          <a:off x="828729" y="1054746"/>
          <a:ext cx="1173135" cy="871779"/>
        </a:xfrm>
        <a:prstGeom prst="rect">
          <a:avLst/>
        </a:prstGeom>
        <a:solidFill>
          <a:schemeClr val="tx1">
            <a:lumMod val="85000"/>
            <a:lumOff val="15000"/>
          </a:schemeClr>
        </a:solidFill>
      </xdr:spPr>
    </xdr:pic>
    <xdr:clientData/>
  </xdr:twoCellAnchor>
  <xdr:twoCellAnchor editAs="oneCell">
    <xdr:from>
      <xdr:col>14</xdr:col>
      <xdr:colOff>355170</xdr:colOff>
      <xdr:row>0</xdr:row>
      <xdr:rowOff>182965</xdr:rowOff>
    </xdr:from>
    <xdr:to>
      <xdr:col>16</xdr:col>
      <xdr:colOff>398221</xdr:colOff>
      <xdr:row>6</xdr:row>
      <xdr:rowOff>118389</xdr:rowOff>
    </xdr:to>
    <xdr:pic>
      <xdr:nvPicPr>
        <xdr:cNvPr id="127" name="Picture 126">
          <a:extLst>
            <a:ext uri="{FF2B5EF4-FFF2-40B4-BE49-F238E27FC236}">
              <a16:creationId xmlns:a16="http://schemas.microsoft.com/office/drawing/2014/main" id="{522BF8E4-A44F-AED1-E916-D15066D7D6C1}"/>
            </a:ext>
          </a:extLst>
        </xdr:cNvPr>
        <xdr:cNvPicPr>
          <a:picLocks noChangeAspect="1"/>
        </xdr:cNvPicPr>
      </xdr:nvPicPr>
      <xdr:blipFill>
        <a:blip xmlns:r="http://schemas.openxmlformats.org/officeDocument/2006/relationships" r:embed="rId15"/>
        <a:stretch>
          <a:fillRect/>
        </a:stretch>
      </xdr:blipFill>
      <xdr:spPr>
        <a:xfrm>
          <a:off x="8943814" y="182965"/>
          <a:ext cx="1270000" cy="10332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08:08:58.348"/>
    </inkml:context>
    <inkml:brush xml:id="br0">
      <inkml:brushProperty name="width" value="0.035" units="cm"/>
      <inkml:brushProperty name="height" value="0.035" units="cm"/>
    </inkml:brush>
  </inkml:definitions>
  <inkml:trace contextRef="#ctx0" brushRef="#br0">1 1 24575,'0'0'-8191</inkml:trace>
  <inkml:trace contextRef="#ctx0" brushRef="#br0" timeOffset="1187.77">1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1T08:10:05.724"/>
    </inkml:context>
    <inkml:brush xml:id="br0">
      <inkml:brushProperty name="width" value="0.035" units="cm"/>
      <inkml:brushProperty name="height" value="0.035" units="cm"/>
    </inkml:brush>
  </inkml:definitions>
  <inkml:trace contextRef="#ctx0" brushRef="#br0">1 1 24575,'0'0'-8191</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8.451569560188" createdVersion="8" refreshedVersion="8" minRefreshableVersion="3" recordCount="51" xr:uid="{EFAB941E-1EFB-4F76-B1E0-49E87762CFD8}">
  <cacheSource type="worksheet">
    <worksheetSource ref="A1:U1048576" sheet="Data"/>
  </cacheSource>
  <cacheFields count="21">
    <cacheField name="Employee ID" numFmtId="0">
      <sharedItems containsString="0" containsBlank="1" containsNumber="1" containsInteger="1" minValue="1550" maxValue="9968"/>
    </cacheField>
    <cacheField name="Full Name" numFmtId="0">
      <sharedItems containsBlank="1"/>
    </cacheField>
    <cacheField name="Gender" numFmtId="0">
      <sharedItems containsBlank="1" count="3">
        <s v="Female"/>
        <s v="Male"/>
        <m/>
      </sharedItems>
    </cacheField>
    <cacheField name="Age" numFmtId="0">
      <sharedItems containsString="0" containsBlank="1" containsNumber="1" containsInteger="1" minValue="20" maxValue="60"/>
    </cacheField>
    <cacheField name="Age range" numFmtId="0">
      <sharedItems containsBlank="1" count="6">
        <s v="18-25"/>
        <s v="26-35"/>
        <s v="36-45"/>
        <s v="56 &lt;"/>
        <s v="46-55"/>
        <m/>
      </sharedItems>
    </cacheField>
    <cacheField name="Region" numFmtId="0">
      <sharedItems containsBlank="1" count="6">
        <s v="East"/>
        <s v="Central"/>
        <s v="West"/>
        <s v="South"/>
        <s v="North"/>
        <m/>
      </sharedItems>
    </cacheField>
    <cacheField name="Job Title" numFmtId="0">
      <sharedItems containsBlank="1" count="6">
        <s v="Manager"/>
        <s v="Designer"/>
        <s v="HR Specialist"/>
        <s v="Developer"/>
        <s v="Analyst"/>
        <m/>
      </sharedItems>
    </cacheField>
    <cacheField name="Department" numFmtId="0">
      <sharedItems containsBlank="1" count="6">
        <s v="Finance"/>
        <s v="HR"/>
        <s v="Marketing"/>
        <s v="Operations"/>
        <s v="IT"/>
        <m/>
      </sharedItems>
    </cacheField>
    <cacheField name="Manager/Supervisor" numFmtId="0">
      <sharedItems containsBlank="1"/>
    </cacheField>
    <cacheField name="Date of Hire" numFmtId="0">
      <sharedItems containsBlank="1"/>
    </cacheField>
    <cacheField name="Employment Status" numFmtId="0">
      <sharedItems containsBlank="1" count="4">
        <s v="Full-Time"/>
        <s v="Contract"/>
        <s v="Part-Time"/>
        <m/>
      </sharedItems>
    </cacheField>
    <cacheField name="Work Location" numFmtId="0">
      <sharedItems containsBlank="1" count="4">
        <s v="Head Office"/>
        <s v="Branch Office"/>
        <s v="Remote"/>
        <m/>
      </sharedItems>
    </cacheField>
    <cacheField name="Salary" numFmtId="0">
      <sharedItems containsString="0" containsBlank="1" containsNumber="1" containsInteger="1" minValue="30137" maxValue="98961"/>
    </cacheField>
    <cacheField name="Pay Grade" numFmtId="0">
      <sharedItems containsBlank="1"/>
    </cacheField>
    <cacheField name="Bonus/Allowances" numFmtId="0">
      <sharedItems containsString="0" containsBlank="1" containsNumber="1" containsInteger="1" minValue="1024" maxValue="9911"/>
    </cacheField>
    <cacheField name="Insurance Details" numFmtId="0">
      <sharedItems containsBlank="1"/>
    </cacheField>
    <cacheField name="Leave Taken" numFmtId="0">
      <sharedItems containsString="0" containsBlank="1" containsNumber="1" containsInteger="1" minValue="0" maxValue="20"/>
    </cacheField>
    <cacheField name="Performance Rating" numFmtId="0">
      <sharedItems containsString="0" containsBlank="1" containsNumber="1" containsInteger="1" minValue="1" maxValue="5"/>
    </cacheField>
    <cacheField name="Training Programs Attended" numFmtId="0">
      <sharedItems containsBlank="1"/>
    </cacheField>
    <cacheField name="Skills" numFmtId="0">
      <sharedItems containsBlank="1" count="6">
        <s v="Design"/>
        <s v="Management"/>
        <s v="Python"/>
        <s v="Communication"/>
        <s v="Excel"/>
        <m/>
      </sharedItems>
    </cacheField>
    <cacheField name="Certifications" numFmtId="0">
      <sharedItems containsBlank="1"/>
    </cacheField>
  </cacheFields>
  <extLst>
    <ext xmlns:x14="http://schemas.microsoft.com/office/spreadsheetml/2009/9/main" uri="{725AE2AE-9491-48be-B2B4-4EB974FC3084}">
      <x14:pivotCacheDefinition pivotCacheId="1725907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r>
    <m/>
    <m/>
    <x v="2"/>
    <m/>
    <x v="5"/>
    <x v="5"/>
    <x v="5"/>
    <x v="5"/>
    <m/>
    <m/>
    <x v="3"/>
    <x v="3"/>
    <m/>
    <m/>
    <m/>
    <m/>
    <m/>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4845F-59C8-4FAC-AF19-DD30267F7716}" name="Skill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T12" firstHeaderRow="1" firstDataRow="1" firstDataCol="1"/>
  <pivotFields count="21">
    <pivotField showAll="0"/>
    <pivotField dataField="1" showAll="0"/>
    <pivotField showAll="0">
      <items count="4">
        <item x="0"/>
        <item x="1"/>
        <item x="2"/>
        <item t="default"/>
      </items>
    </pivotField>
    <pivotField showAll="0"/>
    <pivotField showAll="0"/>
    <pivotField showAll="0"/>
    <pivotField showAll="0"/>
    <pivotField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0"/>
        <item x="4"/>
        <item x="1"/>
        <item x="2"/>
        <item x="5"/>
        <item t="default"/>
      </items>
    </pivotField>
    <pivotField showAll="0"/>
  </pivotFields>
  <rowFields count="1">
    <field x="19"/>
  </rowFields>
  <rowItems count="7">
    <i>
      <x/>
    </i>
    <i>
      <x v="1"/>
    </i>
    <i>
      <x v="2"/>
    </i>
    <i>
      <x v="3"/>
    </i>
    <i>
      <x v="4"/>
    </i>
    <i>
      <x v="5"/>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7FD0FE-B86F-4749-8A1B-2E35814DD131}" name="Workloac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10" firstHeaderRow="1" firstDataRow="1" firstDataCol="1"/>
  <pivotFields count="21">
    <pivotField showAll="0"/>
    <pivotField dataField="1" showAll="0"/>
    <pivotField showAll="0">
      <items count="4">
        <item x="0"/>
        <item x="1"/>
        <item x="2"/>
        <item t="default"/>
      </items>
    </pivotField>
    <pivotField showAll="0"/>
    <pivotField showAll="0"/>
    <pivotField showAll="0"/>
    <pivotField showAll="0"/>
    <pivotField showAll="0">
      <items count="7">
        <item x="0"/>
        <item x="1"/>
        <item x="4"/>
        <item x="2"/>
        <item x="3"/>
        <item x="5"/>
        <item t="default"/>
      </items>
    </pivotField>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1A09E6-2F6D-44F5-9917-9F7078AD7383}" name="Department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5:Z12" firstHeaderRow="1" firstDataRow="1" firstDataCol="1"/>
  <pivotFields count="21">
    <pivotField showAll="0"/>
    <pivotField showAll="0"/>
    <pivotField showAll="0">
      <items count="4">
        <item x="0"/>
        <item x="1"/>
        <item x="2"/>
        <item t="default"/>
      </items>
    </pivotField>
    <pivotField showAll="0"/>
    <pivotField showAll="0"/>
    <pivotField showAll="0"/>
    <pivotField showAll="0"/>
    <pivotField axis="axisRow"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7">
    <i>
      <x/>
    </i>
    <i>
      <x v="1"/>
    </i>
    <i>
      <x v="2"/>
    </i>
    <i>
      <x v="3"/>
    </i>
    <i>
      <x v="4"/>
    </i>
    <i>
      <x v="5"/>
    </i>
    <i t="grand">
      <x/>
    </i>
  </rowItems>
  <colItems count="1">
    <i/>
  </colItems>
  <dataFields count="1">
    <dataField name="Average of Performance Rating" fld="17" subtotal="average" baseField="7" baseItem="0"/>
  </dataFields>
  <formats count="1">
    <format dxfId="0">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E27053-CE66-4C20-A149-B4C74449AB62}" name="Employment Statu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9" firstHeaderRow="1" firstDataRow="1" firstDataCol="1"/>
  <pivotFields count="21">
    <pivotField showAll="0"/>
    <pivotField dataField="1" showAll="0"/>
    <pivotField showAll="0">
      <items count="4">
        <item x="0"/>
        <item x="1"/>
        <item x="2"/>
        <item t="default"/>
      </items>
    </pivotField>
    <pivotField showAll="0"/>
    <pivotField showAll="0"/>
    <pivotField showAll="0"/>
    <pivotField showAll="0"/>
    <pivotField showAll="0">
      <items count="7">
        <item x="0"/>
        <item x="1"/>
        <item x="4"/>
        <item x="2"/>
        <item x="3"/>
        <item x="5"/>
        <item t="default"/>
      </items>
    </pivotField>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filters count="1">
    <filter fld="10" type="captionNotEqual" evalOrder="-1" id="2" stringValue1="(blank)">
      <autoFilter ref="A1">
        <filterColumn colId="0">
          <customFilters>
            <customFilter operator="notEqual" val="(blank)"/>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A2BAD7-DC1B-4B94-A804-14861C4B830A}" name="Salarie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G11" firstHeaderRow="0" firstDataRow="1" firstDataCol="1"/>
  <pivotFields count="21">
    <pivotField showAll="0"/>
    <pivotField showAll="0"/>
    <pivotField showAll="0">
      <items count="4">
        <item x="0"/>
        <item x="1"/>
        <item x="2"/>
        <item t="default"/>
      </items>
    </pivotField>
    <pivotField showAll="0"/>
    <pivotField showAll="0"/>
    <pivotField showAll="0"/>
    <pivotField axis="axisRow" showAll="0">
      <items count="7">
        <item x="4"/>
        <item x="1"/>
        <item x="3"/>
        <item x="2"/>
        <item x="0"/>
        <item x="5"/>
        <item t="default"/>
      </items>
    </pivotField>
    <pivotField showAll="0">
      <items count="7">
        <item x="0"/>
        <item x="1"/>
        <item x="4"/>
        <item x="2"/>
        <item x="3"/>
        <item x="5"/>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
    <format dxfId="1">
      <pivotArea collapsedLevelsAreSubtotals="1" fieldPosition="0">
        <references count="1">
          <reference field="6" count="5">
            <x v="0"/>
            <x v="1"/>
            <x v="2"/>
            <x v="3"/>
            <x v="4"/>
          </reference>
        </references>
      </pivotArea>
    </format>
  </formats>
  <pivotTableStyleInfo name="PivotStyleLight16" showRowHeaders="1" showColHeaders="1" showRowStripes="0" showColStripes="0" showLastColumn="1"/>
  <filters count="1">
    <filter fld="6" type="captionNotEqual" evalOrder="-1" id="1" stringValue1="(blank)">
      <autoFilter ref="A1">
        <filterColumn colId="0">
          <customFilters>
            <customFilter operator="notEqual" val="(blank)"/>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0F54C0-6455-48D7-A3CD-88EE2CF870AB}" name="Age range"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5:L12" firstHeaderRow="1" firstDataRow="2" firstDataCol="1"/>
  <pivotFields count="21">
    <pivotField showAll="0"/>
    <pivotField dataField="1" showAll="0"/>
    <pivotField axis="axisCol" showAll="0">
      <items count="4">
        <item x="0"/>
        <item x="1"/>
        <item x="2"/>
        <item t="default"/>
      </items>
    </pivotField>
    <pivotField showAll="0"/>
    <pivotField axis="axisRow" showAll="0">
      <items count="7">
        <item x="0"/>
        <item x="1"/>
        <item x="2"/>
        <item x="4"/>
        <item x="3"/>
        <item x="5"/>
        <item t="default"/>
      </items>
    </pivotField>
    <pivotField showAll="0"/>
    <pivotField showAll="0"/>
    <pivotField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3">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4" type="captionNotEqual" evalOrder="-1" id="2" stringValue1="(blank)">
      <autoFilter ref="A1">
        <filterColumn colId="0">
          <customFilters>
            <customFilter operator="notEqual" val="(blank)"/>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24D236-5549-43B6-9AE0-73C6373F0881}" name="Reg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5:W12" firstHeaderRow="1" firstDataRow="1" firstDataCol="1"/>
  <pivotFields count="21">
    <pivotField showAll="0"/>
    <pivotField dataField="1" showAll="0"/>
    <pivotField showAll="0">
      <items count="4">
        <item x="0"/>
        <item x="1"/>
        <item x="2"/>
        <item t="default"/>
      </items>
    </pivotField>
    <pivotField showAll="0"/>
    <pivotField showAll="0"/>
    <pivotField axis="axisRow" showAll="0">
      <items count="7">
        <item x="1"/>
        <item x="0"/>
        <item x="4"/>
        <item x="3"/>
        <item x="2"/>
        <item x="5"/>
        <item t="default"/>
      </items>
    </pivotField>
    <pivotField showAll="0"/>
    <pivotField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Full Name" fld="1" subtotal="count" baseField="0" baseItem="0"/>
  </dataFields>
  <chartFormats count="2">
    <chartFormat chart="2"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C3C07F-CDC1-4EE5-8FD4-D9393DCC0C0C}" sourceName="Gender">
  <pivotTables>
    <pivotTable tabId="3" name="Salaries"/>
    <pivotTable tabId="3" name="Age range"/>
    <pivotTable tabId="3" name="Employment Status"/>
    <pivotTable tabId="3" name="Departments"/>
    <pivotTable tabId="3" name="Region"/>
    <pivotTable tabId="3" name="Skills"/>
    <pivotTable tabId="3" name="Workloaction"/>
  </pivotTables>
  <data>
    <tabular pivotCacheId="1725907557">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BBDA1EF-7505-4893-AF61-AF6A0B42A606}" sourceName="Department">
  <pivotTables>
    <pivotTable tabId="3" name="Salaries"/>
    <pivotTable tabId="3" name="Age range"/>
    <pivotTable tabId="3" name="Departments"/>
    <pivotTable tabId="3" name="Employment Status"/>
    <pivotTable tabId="3" name="Region"/>
    <pivotTable tabId="3" name="Skills"/>
    <pivotTable tabId="3" name="Workloaction"/>
  </pivotTables>
  <data>
    <tabular pivotCacheId="1725907557">
      <items count="6">
        <i x="0" s="1"/>
        <i x="1" s="1"/>
        <i x="4" s="1"/>
        <i x="2"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6693A87-2E05-418D-BF42-C4645606DBEF}" cache="Slicer_Gender" columnCount="2" style="Slicer Style 1" rowHeight="241300"/>
  <slicer name="Department" xr10:uid="{58646631-5027-439E-9137-3E888427EE0D}" cache="Slicer_Department"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E48E99-BF34-4727-B780-7A26F8E4BF1A}" name="Table1" displayName="Table1" ref="A1:U51" totalsRowShown="0" headerRowDxfId="25" dataDxfId="24">
  <autoFilter ref="A1:U51" xr:uid="{E1E48E99-BF34-4727-B780-7A26F8E4BF1A}"/>
  <tableColumns count="21">
    <tableColumn id="1" xr3:uid="{F8CBB6D0-6993-40DA-8F2C-BE72F0258BF9}" name="Employee ID" dataDxfId="23"/>
    <tableColumn id="2" xr3:uid="{4803DD0D-AD60-4E3F-8F9E-ED098B58B239}" name="Full Name" dataDxfId="22"/>
    <tableColumn id="3" xr3:uid="{E6E8E69B-4172-43F5-A0C8-978277984A2B}" name="Gender" dataDxfId="21"/>
    <tableColumn id="4" xr3:uid="{55A789C0-47AE-4780-9787-26D89194C059}" name="Age" dataDxfId="20"/>
    <tableColumn id="5" xr3:uid="{2692E5B4-5CFF-4419-8624-46832A54DBF6}" name="Age range" dataDxfId="19"/>
    <tableColumn id="6" xr3:uid="{74ABEDAE-BD71-4181-85AE-966754165DE0}" name="Region" dataDxfId="18"/>
    <tableColumn id="7" xr3:uid="{33C841BA-D2B2-4B7B-9B34-AB9C4A47840B}" name="Job Title" dataDxfId="17"/>
    <tableColumn id="8" xr3:uid="{81C25F27-273C-41D0-A0B5-C8BCE08C7B09}" name="Department" dataDxfId="16"/>
    <tableColumn id="9" xr3:uid="{09AD71CE-6DD7-48B3-A23D-9B9744D7D0D8}" name="Manager/Supervisor" dataDxfId="15"/>
    <tableColumn id="10" xr3:uid="{28FF247C-38BD-467E-B19B-EAE556F5032B}" name="Date of Hire" dataDxfId="14"/>
    <tableColumn id="11" xr3:uid="{A6982089-E901-41A3-8BC6-DABB9DEDF320}" name="Employment Status" dataDxfId="13"/>
    <tableColumn id="12" xr3:uid="{DBAAE35F-3286-4AE8-9A95-60D17E07B3A8}" name="Work Location" dataDxfId="12"/>
    <tableColumn id="13" xr3:uid="{FA32E521-0CDA-4032-8385-B39705EC2A36}" name="Salary" dataDxfId="11"/>
    <tableColumn id="14" xr3:uid="{8BB6210F-E220-4835-8E27-ECE9BBDCEAF1}" name="Pay Grade" dataDxfId="10"/>
    <tableColumn id="15" xr3:uid="{5B83A66A-9560-4722-94CF-47C56E8ECDC0}" name="Bonus/Allowances" dataDxfId="9"/>
    <tableColumn id="16" xr3:uid="{236595D1-A9F9-4CCE-A907-13338B337052}" name="Insurance Details" dataDxfId="8"/>
    <tableColumn id="17" xr3:uid="{4135A628-31E5-42AB-A1C6-5F2879F9D2C6}" name="Leave Taken" dataDxfId="7"/>
    <tableColumn id="18" xr3:uid="{7206D00C-C68F-426E-BE2F-3EC33BE3D090}" name="Performance Rating" dataDxfId="6"/>
    <tableColumn id="19" xr3:uid="{52D07E0F-9A6F-41DC-AD02-01B57541193C}" name="Training Programs Attended" dataDxfId="5"/>
    <tableColumn id="20" xr3:uid="{6CBE49A0-0469-49C1-9550-8147E86C6C4B}" name="Skills" dataDxfId="4"/>
    <tableColumn id="21" xr3:uid="{AA0960FA-D1BC-41DF-ADE1-C057C25A970E}" name="Certifications" dataDxf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BEBD5-F047-4292-ACF2-15D131E5E902}">
  <sheetPr codeName="Sheet1"/>
  <dimension ref="C5:T20"/>
  <sheetViews>
    <sheetView showGridLines="0" tabSelected="1" zoomScale="58" zoomScaleNormal="36" workbookViewId="0">
      <selection activeCell="T29" sqref="T29"/>
    </sheetView>
  </sheetViews>
  <sheetFormatPr defaultRowHeight="14.5"/>
  <cols>
    <col min="1" max="2" width="8.7265625" style="2"/>
    <col min="3" max="3" width="8.7265625" style="2" customWidth="1"/>
    <col min="4" max="16384" width="8.7265625" style="2"/>
  </cols>
  <sheetData>
    <row r="5" spans="3:20">
      <c r="C5" s="1"/>
    </row>
    <row r="7" spans="3:20">
      <c r="T7" s="22"/>
    </row>
    <row r="10" spans="3:20">
      <c r="E10" s="2" t="s">
        <v>0</v>
      </c>
    </row>
    <row r="20" spans="20:20">
      <c r="T20"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0129-0D5E-419D-B3CA-D6F7D67C08A7}">
  <sheetPr codeName="Sheet2"/>
  <dimension ref="A1:U51"/>
  <sheetViews>
    <sheetView topLeftCell="A2" workbookViewId="0">
      <selection activeCell="B8" sqref="A2:U51"/>
    </sheetView>
  </sheetViews>
  <sheetFormatPr defaultRowHeight="14.5"/>
  <cols>
    <col min="1" max="1" width="16.90625" bestFit="1" customWidth="1"/>
    <col min="2" max="2" width="16.453125" bestFit="1" customWidth="1"/>
    <col min="3" max="3" width="12.1796875" bestFit="1" customWidth="1"/>
    <col min="4" max="4" width="9" bestFit="1" customWidth="1"/>
    <col min="5" max="5" width="14.81640625" bestFit="1" customWidth="1"/>
    <col min="6" max="6" width="11.90625" bestFit="1" customWidth="1"/>
    <col min="7" max="7" width="13.36328125" bestFit="1" customWidth="1"/>
    <col min="8" max="8" width="16.1796875" bestFit="1" customWidth="1"/>
    <col min="9" max="9" width="24.1796875" bestFit="1" customWidth="1"/>
    <col min="10" max="10" width="16.26953125" bestFit="1" customWidth="1"/>
    <col min="11" max="11" width="23.6328125" bestFit="1" customWidth="1"/>
    <col min="12" max="12" width="18.90625" bestFit="1" customWidth="1"/>
    <col min="13" max="13" width="11.08984375" bestFit="1" customWidth="1"/>
    <col min="14" max="14" width="15" bestFit="1" customWidth="1"/>
    <col min="15" max="15" width="22.90625" bestFit="1" customWidth="1"/>
    <col min="16" max="16" width="21.36328125" bestFit="1" customWidth="1"/>
    <col min="17" max="17" width="17.453125" bestFit="1" customWidth="1"/>
    <col min="18" max="18" width="24" bestFit="1" customWidth="1"/>
    <col min="19" max="19" width="31.90625" bestFit="1" customWidth="1"/>
    <col min="20" max="20" width="14.54296875" bestFit="1" customWidth="1"/>
    <col min="21" max="21" width="20" bestFit="1" customWidth="1"/>
  </cols>
  <sheetData>
    <row r="1" spans="1:21">
      <c r="A1" s="3" t="s">
        <v>1</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row>
    <row r="2" spans="1:21">
      <c r="A2" s="4">
        <v>4294</v>
      </c>
      <c r="B2" s="4" t="s">
        <v>22</v>
      </c>
      <c r="C2" s="4" t="s">
        <v>23</v>
      </c>
      <c r="D2" s="4">
        <v>25</v>
      </c>
      <c r="E2" s="4" t="s">
        <v>24</v>
      </c>
      <c r="F2" s="4" t="s">
        <v>25</v>
      </c>
      <c r="G2" s="4" t="s">
        <v>26</v>
      </c>
      <c r="H2" s="4" t="s">
        <v>27</v>
      </c>
      <c r="I2" s="4" t="s">
        <v>28</v>
      </c>
      <c r="J2" s="4" t="s">
        <v>29</v>
      </c>
      <c r="K2" s="4" t="s">
        <v>30</v>
      </c>
      <c r="L2" s="4" t="s">
        <v>31</v>
      </c>
      <c r="M2" s="4">
        <v>53700</v>
      </c>
      <c r="N2" s="4" t="s">
        <v>32</v>
      </c>
      <c r="O2" s="4">
        <v>1463</v>
      </c>
      <c r="P2" s="4" t="s">
        <v>33</v>
      </c>
      <c r="Q2" s="4">
        <v>1</v>
      </c>
      <c r="R2" s="4">
        <v>1</v>
      </c>
      <c r="S2" s="4" t="s">
        <v>34</v>
      </c>
      <c r="T2" s="4" t="s">
        <v>35</v>
      </c>
      <c r="U2" s="4" t="s">
        <v>36</v>
      </c>
    </row>
    <row r="3" spans="1:21">
      <c r="A3" s="4">
        <v>9116</v>
      </c>
      <c r="B3" s="4" t="s">
        <v>37</v>
      </c>
      <c r="C3" s="4" t="s">
        <v>38</v>
      </c>
      <c r="D3" s="4">
        <v>27</v>
      </c>
      <c r="E3" s="4" t="s">
        <v>39</v>
      </c>
      <c r="F3" s="4" t="s">
        <v>40</v>
      </c>
      <c r="G3" s="4" t="s">
        <v>41</v>
      </c>
      <c r="H3" s="4" t="s">
        <v>42</v>
      </c>
      <c r="I3" s="4" t="s">
        <v>43</v>
      </c>
      <c r="J3" s="4" t="s">
        <v>44</v>
      </c>
      <c r="K3" s="4" t="s">
        <v>30</v>
      </c>
      <c r="L3" s="4" t="s">
        <v>45</v>
      </c>
      <c r="M3" s="4">
        <v>91091</v>
      </c>
      <c r="N3" s="4" t="s">
        <v>46</v>
      </c>
      <c r="O3" s="4">
        <v>1024</v>
      </c>
      <c r="P3" s="4" t="s">
        <v>47</v>
      </c>
      <c r="Q3" s="4">
        <v>19</v>
      </c>
      <c r="R3" s="4">
        <v>4</v>
      </c>
      <c r="S3" s="4" t="s">
        <v>48</v>
      </c>
      <c r="T3" s="4" t="s">
        <v>35</v>
      </c>
      <c r="U3" s="4" t="s">
        <v>36</v>
      </c>
    </row>
    <row r="4" spans="1:21">
      <c r="A4" s="4">
        <v>5120</v>
      </c>
      <c r="B4" s="4" t="s">
        <v>49</v>
      </c>
      <c r="C4" s="4" t="s">
        <v>38</v>
      </c>
      <c r="D4" s="4">
        <v>34</v>
      </c>
      <c r="E4" s="4" t="s">
        <v>39</v>
      </c>
      <c r="F4" s="4" t="s">
        <v>50</v>
      </c>
      <c r="G4" s="4" t="s">
        <v>51</v>
      </c>
      <c r="H4" s="4" t="s">
        <v>52</v>
      </c>
      <c r="I4" s="4" t="s">
        <v>53</v>
      </c>
      <c r="J4" s="4" t="s">
        <v>54</v>
      </c>
      <c r="K4" s="4" t="s">
        <v>30</v>
      </c>
      <c r="L4" s="4" t="s">
        <v>55</v>
      </c>
      <c r="M4" s="4">
        <v>57538</v>
      </c>
      <c r="N4" s="4" t="s">
        <v>56</v>
      </c>
      <c r="O4" s="4">
        <v>1674</v>
      </c>
      <c r="P4" s="4" t="s">
        <v>47</v>
      </c>
      <c r="Q4" s="4">
        <v>8</v>
      </c>
      <c r="R4" s="4">
        <v>1</v>
      </c>
      <c r="S4" s="4" t="s">
        <v>47</v>
      </c>
      <c r="T4" s="4" t="s">
        <v>57</v>
      </c>
      <c r="U4" s="4" t="s">
        <v>58</v>
      </c>
    </row>
    <row r="5" spans="1:21">
      <c r="A5" s="4">
        <v>8071</v>
      </c>
      <c r="B5" s="4" t="s">
        <v>59</v>
      </c>
      <c r="C5" s="4" t="s">
        <v>23</v>
      </c>
      <c r="D5" s="4">
        <v>41</v>
      </c>
      <c r="E5" s="4" t="s">
        <v>60</v>
      </c>
      <c r="F5" s="4" t="s">
        <v>50</v>
      </c>
      <c r="G5" s="4" t="s">
        <v>26</v>
      </c>
      <c r="H5" s="4" t="s">
        <v>61</v>
      </c>
      <c r="I5" s="4" t="s">
        <v>62</v>
      </c>
      <c r="J5" s="4" t="s">
        <v>63</v>
      </c>
      <c r="K5" s="4" t="s">
        <v>64</v>
      </c>
      <c r="L5" s="4" t="s">
        <v>31</v>
      </c>
      <c r="M5" s="4">
        <v>62993</v>
      </c>
      <c r="N5" s="4" t="s">
        <v>65</v>
      </c>
      <c r="O5" s="4">
        <v>2695</v>
      </c>
      <c r="P5" s="4" t="s">
        <v>66</v>
      </c>
      <c r="Q5" s="4">
        <v>0</v>
      </c>
      <c r="R5" s="4">
        <v>2</v>
      </c>
      <c r="S5" s="4" t="s">
        <v>47</v>
      </c>
      <c r="T5" s="4" t="s">
        <v>67</v>
      </c>
      <c r="U5" s="4" t="s">
        <v>47</v>
      </c>
    </row>
    <row r="6" spans="1:21">
      <c r="A6" s="4">
        <v>9351</v>
      </c>
      <c r="B6" s="4" t="s">
        <v>68</v>
      </c>
      <c r="C6" s="4" t="s">
        <v>38</v>
      </c>
      <c r="D6" s="4">
        <v>56</v>
      </c>
      <c r="E6" s="4" t="s">
        <v>69</v>
      </c>
      <c r="F6" s="4" t="s">
        <v>25</v>
      </c>
      <c r="G6" s="4" t="s">
        <v>26</v>
      </c>
      <c r="H6" s="4" t="s">
        <v>52</v>
      </c>
      <c r="I6" s="4" t="s">
        <v>70</v>
      </c>
      <c r="J6" s="4" t="s">
        <v>71</v>
      </c>
      <c r="K6" s="4" t="s">
        <v>64</v>
      </c>
      <c r="L6" s="4" t="s">
        <v>45</v>
      </c>
      <c r="M6" s="4">
        <v>45773</v>
      </c>
      <c r="N6" s="4" t="s">
        <v>65</v>
      </c>
      <c r="O6" s="4">
        <v>8776</v>
      </c>
      <c r="P6" s="4" t="s">
        <v>33</v>
      </c>
      <c r="Q6" s="4">
        <v>16</v>
      </c>
      <c r="R6" s="4">
        <v>4</v>
      </c>
      <c r="S6" s="4" t="s">
        <v>34</v>
      </c>
      <c r="T6" s="4" t="s">
        <v>67</v>
      </c>
      <c r="U6" s="4" t="s">
        <v>47</v>
      </c>
    </row>
    <row r="7" spans="1:21">
      <c r="A7" s="4">
        <v>2873</v>
      </c>
      <c r="B7" s="4" t="s">
        <v>72</v>
      </c>
      <c r="C7" s="4" t="s">
        <v>23</v>
      </c>
      <c r="D7" s="4">
        <v>28</v>
      </c>
      <c r="E7" s="4" t="s">
        <v>39</v>
      </c>
      <c r="F7" s="4" t="s">
        <v>50</v>
      </c>
      <c r="G7" s="4" t="s">
        <v>73</v>
      </c>
      <c r="H7" s="4" t="s">
        <v>52</v>
      </c>
      <c r="I7" s="4" t="s">
        <v>74</v>
      </c>
      <c r="J7" s="4" t="s">
        <v>75</v>
      </c>
      <c r="K7" s="4" t="s">
        <v>30</v>
      </c>
      <c r="L7" s="4" t="s">
        <v>45</v>
      </c>
      <c r="M7" s="4">
        <v>96249</v>
      </c>
      <c r="N7" s="4" t="s">
        <v>32</v>
      </c>
      <c r="O7" s="4">
        <v>4826</v>
      </c>
      <c r="P7" s="4" t="s">
        <v>66</v>
      </c>
      <c r="Q7" s="4">
        <v>7</v>
      </c>
      <c r="R7" s="4">
        <v>3</v>
      </c>
      <c r="S7" s="4" t="s">
        <v>34</v>
      </c>
      <c r="T7" s="4" t="s">
        <v>76</v>
      </c>
      <c r="U7" s="4" t="s">
        <v>36</v>
      </c>
    </row>
    <row r="8" spans="1:21">
      <c r="A8" s="4">
        <v>3540</v>
      </c>
      <c r="B8" s="4" t="s">
        <v>77</v>
      </c>
      <c r="C8" s="4" t="s">
        <v>23</v>
      </c>
      <c r="D8" s="4">
        <v>20</v>
      </c>
      <c r="E8" s="4" t="s">
        <v>24</v>
      </c>
      <c r="F8" s="4" t="s">
        <v>40</v>
      </c>
      <c r="G8" s="4" t="s">
        <v>51</v>
      </c>
      <c r="H8" s="4" t="s">
        <v>52</v>
      </c>
      <c r="I8" s="4" t="s">
        <v>78</v>
      </c>
      <c r="J8" s="4" t="s">
        <v>79</v>
      </c>
      <c r="K8" s="4" t="s">
        <v>30</v>
      </c>
      <c r="L8" s="4" t="s">
        <v>55</v>
      </c>
      <c r="M8" s="4">
        <v>61596</v>
      </c>
      <c r="N8" s="4" t="s">
        <v>32</v>
      </c>
      <c r="O8" s="4">
        <v>8818</v>
      </c>
      <c r="P8" s="4" t="s">
        <v>66</v>
      </c>
      <c r="Q8" s="4">
        <v>4</v>
      </c>
      <c r="R8" s="4">
        <v>2</v>
      </c>
      <c r="S8" s="4" t="s">
        <v>34</v>
      </c>
      <c r="T8" s="4" t="s">
        <v>57</v>
      </c>
      <c r="U8" s="4" t="s">
        <v>47</v>
      </c>
    </row>
    <row r="9" spans="1:21">
      <c r="A9" s="4">
        <v>3653</v>
      </c>
      <c r="B9" s="4" t="s">
        <v>80</v>
      </c>
      <c r="C9" s="4" t="s">
        <v>23</v>
      </c>
      <c r="D9" s="4">
        <v>58</v>
      </c>
      <c r="E9" s="4" t="s">
        <v>69</v>
      </c>
      <c r="F9" s="4" t="s">
        <v>81</v>
      </c>
      <c r="G9" s="4" t="s">
        <v>41</v>
      </c>
      <c r="H9" s="4" t="s">
        <v>82</v>
      </c>
      <c r="I9" s="4" t="s">
        <v>83</v>
      </c>
      <c r="J9" s="4" t="s">
        <v>84</v>
      </c>
      <c r="K9" s="4" t="s">
        <v>30</v>
      </c>
      <c r="L9" s="4" t="s">
        <v>55</v>
      </c>
      <c r="M9" s="4">
        <v>97869</v>
      </c>
      <c r="N9" s="4" t="s">
        <v>65</v>
      </c>
      <c r="O9" s="4">
        <v>1966</v>
      </c>
      <c r="P9" s="4" t="s">
        <v>33</v>
      </c>
      <c r="Q9" s="4">
        <v>10</v>
      </c>
      <c r="R9" s="4">
        <v>1</v>
      </c>
      <c r="S9" s="4" t="s">
        <v>34</v>
      </c>
      <c r="T9" s="4" t="s">
        <v>35</v>
      </c>
      <c r="U9" s="4" t="s">
        <v>36</v>
      </c>
    </row>
    <row r="10" spans="1:21">
      <c r="A10" s="4">
        <v>5587</v>
      </c>
      <c r="B10" s="4" t="s">
        <v>85</v>
      </c>
      <c r="C10" s="4" t="s">
        <v>23</v>
      </c>
      <c r="D10" s="4">
        <v>44</v>
      </c>
      <c r="E10" s="4" t="s">
        <v>60</v>
      </c>
      <c r="F10" s="4" t="s">
        <v>81</v>
      </c>
      <c r="G10" s="4" t="s">
        <v>51</v>
      </c>
      <c r="H10" s="4" t="s">
        <v>52</v>
      </c>
      <c r="I10" s="4" t="s">
        <v>86</v>
      </c>
      <c r="J10" s="4" t="s">
        <v>87</v>
      </c>
      <c r="K10" s="4" t="s">
        <v>30</v>
      </c>
      <c r="L10" s="4" t="s">
        <v>31</v>
      </c>
      <c r="M10" s="4">
        <v>81235</v>
      </c>
      <c r="N10" s="4" t="s">
        <v>65</v>
      </c>
      <c r="O10" s="4">
        <v>6553</v>
      </c>
      <c r="P10" s="4" t="s">
        <v>47</v>
      </c>
      <c r="Q10" s="4">
        <v>16</v>
      </c>
      <c r="R10" s="4">
        <v>2</v>
      </c>
      <c r="S10" s="4" t="s">
        <v>47</v>
      </c>
      <c r="T10" s="4" t="s">
        <v>57</v>
      </c>
      <c r="U10" s="4" t="s">
        <v>36</v>
      </c>
    </row>
    <row r="11" spans="1:21">
      <c r="A11" s="4">
        <v>9554</v>
      </c>
      <c r="B11" s="4" t="s">
        <v>88</v>
      </c>
      <c r="C11" s="4" t="s">
        <v>23</v>
      </c>
      <c r="D11" s="4">
        <v>29</v>
      </c>
      <c r="E11" s="4" t="s">
        <v>39</v>
      </c>
      <c r="F11" s="4" t="s">
        <v>40</v>
      </c>
      <c r="G11" s="4" t="s">
        <v>51</v>
      </c>
      <c r="H11" s="4" t="s">
        <v>61</v>
      </c>
      <c r="I11" s="4" t="s">
        <v>89</v>
      </c>
      <c r="J11" s="4" t="s">
        <v>90</v>
      </c>
      <c r="K11" s="4" t="s">
        <v>30</v>
      </c>
      <c r="L11" s="4" t="s">
        <v>45</v>
      </c>
      <c r="M11" s="4">
        <v>87852</v>
      </c>
      <c r="N11" s="4" t="s">
        <v>65</v>
      </c>
      <c r="O11" s="4">
        <v>4980</v>
      </c>
      <c r="P11" s="4" t="s">
        <v>66</v>
      </c>
      <c r="Q11" s="4">
        <v>19</v>
      </c>
      <c r="R11" s="4">
        <v>3</v>
      </c>
      <c r="S11" s="4" t="s">
        <v>47</v>
      </c>
      <c r="T11" s="4" t="s">
        <v>67</v>
      </c>
      <c r="U11" s="4" t="s">
        <v>36</v>
      </c>
    </row>
    <row r="12" spans="1:21">
      <c r="A12" s="4">
        <v>6213</v>
      </c>
      <c r="B12" s="4" t="s">
        <v>91</v>
      </c>
      <c r="C12" s="4" t="s">
        <v>38</v>
      </c>
      <c r="D12" s="4">
        <v>23</v>
      </c>
      <c r="E12" s="4" t="s">
        <v>24</v>
      </c>
      <c r="F12" s="4" t="s">
        <v>81</v>
      </c>
      <c r="G12" s="4" t="s">
        <v>26</v>
      </c>
      <c r="H12" s="4" t="s">
        <v>52</v>
      </c>
      <c r="I12" s="4" t="s">
        <v>92</v>
      </c>
      <c r="J12" s="4" t="s">
        <v>93</v>
      </c>
      <c r="K12" s="4" t="s">
        <v>64</v>
      </c>
      <c r="L12" s="4" t="s">
        <v>45</v>
      </c>
      <c r="M12" s="4">
        <v>59359</v>
      </c>
      <c r="N12" s="4" t="s">
        <v>65</v>
      </c>
      <c r="O12" s="4">
        <v>9449</v>
      </c>
      <c r="P12" s="4" t="s">
        <v>66</v>
      </c>
      <c r="Q12" s="4">
        <v>20</v>
      </c>
      <c r="R12" s="4">
        <v>3</v>
      </c>
      <c r="S12" s="4" t="s">
        <v>47</v>
      </c>
      <c r="T12" s="4" t="s">
        <v>57</v>
      </c>
      <c r="U12" s="4" t="s">
        <v>47</v>
      </c>
    </row>
    <row r="13" spans="1:21">
      <c r="A13" s="4">
        <v>9105</v>
      </c>
      <c r="B13" s="4" t="s">
        <v>94</v>
      </c>
      <c r="C13" s="4" t="s">
        <v>38</v>
      </c>
      <c r="D13" s="4">
        <v>30</v>
      </c>
      <c r="E13" s="4" t="s">
        <v>39</v>
      </c>
      <c r="F13" s="4" t="s">
        <v>25</v>
      </c>
      <c r="G13" s="4" t="s">
        <v>41</v>
      </c>
      <c r="H13" s="4" t="s">
        <v>27</v>
      </c>
      <c r="I13" s="4" t="s">
        <v>95</v>
      </c>
      <c r="J13" s="4" t="s">
        <v>96</v>
      </c>
      <c r="K13" s="4" t="s">
        <v>64</v>
      </c>
      <c r="L13" s="4" t="s">
        <v>55</v>
      </c>
      <c r="M13" s="4">
        <v>81225</v>
      </c>
      <c r="N13" s="4" t="s">
        <v>56</v>
      </c>
      <c r="O13" s="4">
        <v>6202</v>
      </c>
      <c r="P13" s="4" t="s">
        <v>66</v>
      </c>
      <c r="Q13" s="4">
        <v>2</v>
      </c>
      <c r="R13" s="4">
        <v>2</v>
      </c>
      <c r="S13" s="4" t="s">
        <v>48</v>
      </c>
      <c r="T13" s="4" t="s">
        <v>97</v>
      </c>
      <c r="U13" s="4" t="s">
        <v>36</v>
      </c>
    </row>
    <row r="14" spans="1:21">
      <c r="A14" s="4">
        <v>9508</v>
      </c>
      <c r="B14" s="4" t="s">
        <v>98</v>
      </c>
      <c r="C14" s="4" t="s">
        <v>23</v>
      </c>
      <c r="D14" s="4">
        <v>49</v>
      </c>
      <c r="E14" s="4" t="s">
        <v>99</v>
      </c>
      <c r="F14" s="4" t="s">
        <v>40</v>
      </c>
      <c r="G14" s="4" t="s">
        <v>26</v>
      </c>
      <c r="H14" s="4" t="s">
        <v>27</v>
      </c>
      <c r="I14" s="4" t="s">
        <v>100</v>
      </c>
      <c r="J14" s="4" t="s">
        <v>101</v>
      </c>
      <c r="K14" s="4" t="s">
        <v>64</v>
      </c>
      <c r="L14" s="4" t="s">
        <v>31</v>
      </c>
      <c r="M14" s="4">
        <v>32788</v>
      </c>
      <c r="N14" s="4" t="s">
        <v>56</v>
      </c>
      <c r="O14" s="4">
        <v>4396</v>
      </c>
      <c r="P14" s="4" t="s">
        <v>33</v>
      </c>
      <c r="Q14" s="4">
        <v>13</v>
      </c>
      <c r="R14" s="4">
        <v>5</v>
      </c>
      <c r="S14" s="4" t="s">
        <v>47</v>
      </c>
      <c r="T14" s="4" t="s">
        <v>76</v>
      </c>
      <c r="U14" s="4" t="s">
        <v>58</v>
      </c>
    </row>
    <row r="15" spans="1:21">
      <c r="A15" s="4">
        <v>2436</v>
      </c>
      <c r="B15" s="4" t="s">
        <v>102</v>
      </c>
      <c r="C15" s="4" t="s">
        <v>38</v>
      </c>
      <c r="D15" s="4">
        <v>60</v>
      </c>
      <c r="E15" s="4" t="s">
        <v>69</v>
      </c>
      <c r="F15" s="4" t="s">
        <v>103</v>
      </c>
      <c r="G15" s="4" t="s">
        <v>26</v>
      </c>
      <c r="H15" s="4" t="s">
        <v>61</v>
      </c>
      <c r="I15" s="4" t="s">
        <v>104</v>
      </c>
      <c r="J15" s="4" t="s">
        <v>105</v>
      </c>
      <c r="K15" s="4" t="s">
        <v>64</v>
      </c>
      <c r="L15" s="4" t="s">
        <v>55</v>
      </c>
      <c r="M15" s="4">
        <v>70452</v>
      </c>
      <c r="N15" s="4" t="s">
        <v>56</v>
      </c>
      <c r="O15" s="4">
        <v>9911</v>
      </c>
      <c r="P15" s="4" t="s">
        <v>47</v>
      </c>
      <c r="Q15" s="4">
        <v>2</v>
      </c>
      <c r="R15" s="4">
        <v>1</v>
      </c>
      <c r="S15" s="4" t="s">
        <v>47</v>
      </c>
      <c r="T15" s="4" t="s">
        <v>76</v>
      </c>
      <c r="U15" s="4" t="s">
        <v>36</v>
      </c>
    </row>
    <row r="16" spans="1:21">
      <c r="A16" s="4">
        <v>4441</v>
      </c>
      <c r="B16" s="4" t="s">
        <v>106</v>
      </c>
      <c r="C16" s="4" t="s">
        <v>38</v>
      </c>
      <c r="D16" s="4">
        <v>46</v>
      </c>
      <c r="E16" s="4" t="s">
        <v>99</v>
      </c>
      <c r="F16" s="4" t="s">
        <v>40</v>
      </c>
      <c r="G16" s="4" t="s">
        <v>73</v>
      </c>
      <c r="H16" s="4" t="s">
        <v>27</v>
      </c>
      <c r="I16" s="4" t="s">
        <v>107</v>
      </c>
      <c r="J16" s="4" t="s">
        <v>108</v>
      </c>
      <c r="K16" s="4" t="s">
        <v>30</v>
      </c>
      <c r="L16" s="4" t="s">
        <v>45</v>
      </c>
      <c r="M16" s="4">
        <v>33045</v>
      </c>
      <c r="N16" s="4" t="s">
        <v>46</v>
      </c>
      <c r="O16" s="4">
        <v>1456</v>
      </c>
      <c r="P16" s="4" t="s">
        <v>47</v>
      </c>
      <c r="Q16" s="4">
        <v>16</v>
      </c>
      <c r="R16" s="4">
        <v>3</v>
      </c>
      <c r="S16" s="4" t="s">
        <v>48</v>
      </c>
      <c r="T16" s="4" t="s">
        <v>76</v>
      </c>
      <c r="U16" s="4" t="s">
        <v>47</v>
      </c>
    </row>
    <row r="17" spans="1:21">
      <c r="A17" s="4">
        <v>5827</v>
      </c>
      <c r="B17" s="4" t="s">
        <v>109</v>
      </c>
      <c r="C17" s="4" t="s">
        <v>38</v>
      </c>
      <c r="D17" s="4">
        <v>57</v>
      </c>
      <c r="E17" s="4" t="s">
        <v>69</v>
      </c>
      <c r="F17" s="4" t="s">
        <v>50</v>
      </c>
      <c r="G17" s="4" t="s">
        <v>73</v>
      </c>
      <c r="H17" s="4" t="s">
        <v>42</v>
      </c>
      <c r="I17" s="4" t="s">
        <v>110</v>
      </c>
      <c r="J17" s="4" t="s">
        <v>111</v>
      </c>
      <c r="K17" s="4" t="s">
        <v>112</v>
      </c>
      <c r="L17" s="4" t="s">
        <v>55</v>
      </c>
      <c r="M17" s="4">
        <v>96429</v>
      </c>
      <c r="N17" s="4" t="s">
        <v>32</v>
      </c>
      <c r="O17" s="4">
        <v>4740</v>
      </c>
      <c r="P17" s="4" t="s">
        <v>47</v>
      </c>
      <c r="Q17" s="4">
        <v>8</v>
      </c>
      <c r="R17" s="4">
        <v>1</v>
      </c>
      <c r="S17" s="4" t="s">
        <v>48</v>
      </c>
      <c r="T17" s="4" t="s">
        <v>67</v>
      </c>
      <c r="U17" s="4" t="s">
        <v>47</v>
      </c>
    </row>
    <row r="18" spans="1:21">
      <c r="A18" s="4">
        <v>5184</v>
      </c>
      <c r="B18" s="4" t="s">
        <v>113</v>
      </c>
      <c r="C18" s="4" t="s">
        <v>23</v>
      </c>
      <c r="D18" s="4">
        <v>24</v>
      </c>
      <c r="E18" s="4" t="s">
        <v>24</v>
      </c>
      <c r="F18" s="4" t="s">
        <v>40</v>
      </c>
      <c r="G18" s="4" t="s">
        <v>51</v>
      </c>
      <c r="H18" s="4" t="s">
        <v>52</v>
      </c>
      <c r="I18" s="4" t="s">
        <v>114</v>
      </c>
      <c r="J18" s="4" t="s">
        <v>115</v>
      </c>
      <c r="K18" s="4" t="s">
        <v>112</v>
      </c>
      <c r="L18" s="4" t="s">
        <v>55</v>
      </c>
      <c r="M18" s="4">
        <v>33183</v>
      </c>
      <c r="N18" s="4" t="s">
        <v>65</v>
      </c>
      <c r="O18" s="4">
        <v>8114</v>
      </c>
      <c r="P18" s="4" t="s">
        <v>47</v>
      </c>
      <c r="Q18" s="4">
        <v>4</v>
      </c>
      <c r="R18" s="4">
        <v>2</v>
      </c>
      <c r="S18" s="4" t="s">
        <v>48</v>
      </c>
      <c r="T18" s="4" t="s">
        <v>97</v>
      </c>
      <c r="U18" s="4" t="s">
        <v>58</v>
      </c>
    </row>
    <row r="19" spans="1:21">
      <c r="A19" s="4">
        <v>5874</v>
      </c>
      <c r="B19" s="4" t="s">
        <v>59</v>
      </c>
      <c r="C19" s="4" t="s">
        <v>23</v>
      </c>
      <c r="D19" s="4">
        <v>35</v>
      </c>
      <c r="E19" s="4" t="s">
        <v>39</v>
      </c>
      <c r="F19" s="4" t="s">
        <v>103</v>
      </c>
      <c r="G19" s="4" t="s">
        <v>73</v>
      </c>
      <c r="H19" s="4" t="s">
        <v>27</v>
      </c>
      <c r="I19" s="4" t="s">
        <v>116</v>
      </c>
      <c r="J19" s="4" t="s">
        <v>117</v>
      </c>
      <c r="K19" s="4" t="s">
        <v>112</v>
      </c>
      <c r="L19" s="4" t="s">
        <v>31</v>
      </c>
      <c r="M19" s="4">
        <v>75065</v>
      </c>
      <c r="N19" s="4" t="s">
        <v>32</v>
      </c>
      <c r="O19" s="4">
        <v>7123</v>
      </c>
      <c r="P19" s="4" t="s">
        <v>47</v>
      </c>
      <c r="Q19" s="4">
        <v>20</v>
      </c>
      <c r="R19" s="4">
        <v>2</v>
      </c>
      <c r="S19" s="4" t="s">
        <v>47</v>
      </c>
      <c r="T19" s="4" t="s">
        <v>35</v>
      </c>
      <c r="U19" s="4" t="s">
        <v>58</v>
      </c>
    </row>
    <row r="20" spans="1:21">
      <c r="A20" s="4">
        <v>9834</v>
      </c>
      <c r="B20" s="4" t="s">
        <v>118</v>
      </c>
      <c r="C20" s="4" t="s">
        <v>38</v>
      </c>
      <c r="D20" s="4">
        <v>41</v>
      </c>
      <c r="E20" s="4" t="s">
        <v>60</v>
      </c>
      <c r="F20" s="4" t="s">
        <v>40</v>
      </c>
      <c r="G20" s="4" t="s">
        <v>41</v>
      </c>
      <c r="H20" s="4" t="s">
        <v>82</v>
      </c>
      <c r="I20" s="4" t="s">
        <v>119</v>
      </c>
      <c r="J20" s="4" t="s">
        <v>120</v>
      </c>
      <c r="K20" s="4" t="s">
        <v>30</v>
      </c>
      <c r="L20" s="4" t="s">
        <v>55</v>
      </c>
      <c r="M20" s="4">
        <v>32877</v>
      </c>
      <c r="N20" s="4" t="s">
        <v>32</v>
      </c>
      <c r="O20" s="4">
        <v>6432</v>
      </c>
      <c r="P20" s="4" t="s">
        <v>33</v>
      </c>
      <c r="Q20" s="4">
        <v>11</v>
      </c>
      <c r="R20" s="4">
        <v>1</v>
      </c>
      <c r="S20" s="4" t="s">
        <v>47</v>
      </c>
      <c r="T20" s="4" t="s">
        <v>35</v>
      </c>
      <c r="U20" s="4" t="s">
        <v>47</v>
      </c>
    </row>
    <row r="21" spans="1:21">
      <c r="A21" s="4">
        <v>5096</v>
      </c>
      <c r="B21" s="4" t="s">
        <v>121</v>
      </c>
      <c r="C21" s="4" t="s">
        <v>38</v>
      </c>
      <c r="D21" s="4">
        <v>36</v>
      </c>
      <c r="E21" s="4" t="s">
        <v>60</v>
      </c>
      <c r="F21" s="4" t="s">
        <v>40</v>
      </c>
      <c r="G21" s="4" t="s">
        <v>122</v>
      </c>
      <c r="H21" s="4" t="s">
        <v>61</v>
      </c>
      <c r="I21" s="4" t="s">
        <v>123</v>
      </c>
      <c r="J21" s="4" t="s">
        <v>124</v>
      </c>
      <c r="K21" s="4" t="s">
        <v>30</v>
      </c>
      <c r="L21" s="4" t="s">
        <v>45</v>
      </c>
      <c r="M21" s="4">
        <v>46811</v>
      </c>
      <c r="N21" s="4" t="s">
        <v>56</v>
      </c>
      <c r="O21" s="4">
        <v>1567</v>
      </c>
      <c r="P21" s="4" t="s">
        <v>47</v>
      </c>
      <c r="Q21" s="4">
        <v>7</v>
      </c>
      <c r="R21" s="4">
        <v>3</v>
      </c>
      <c r="S21" s="4" t="s">
        <v>48</v>
      </c>
      <c r="T21" s="4" t="s">
        <v>35</v>
      </c>
      <c r="U21" s="4" t="s">
        <v>58</v>
      </c>
    </row>
    <row r="22" spans="1:21">
      <c r="A22" s="4">
        <v>2263</v>
      </c>
      <c r="B22" s="4" t="s">
        <v>125</v>
      </c>
      <c r="C22" s="4" t="s">
        <v>38</v>
      </c>
      <c r="D22" s="4">
        <v>31</v>
      </c>
      <c r="E22" s="4" t="s">
        <v>39</v>
      </c>
      <c r="F22" s="4" t="s">
        <v>81</v>
      </c>
      <c r="G22" s="4" t="s">
        <v>51</v>
      </c>
      <c r="H22" s="4" t="s">
        <v>42</v>
      </c>
      <c r="I22" s="4" t="s">
        <v>126</v>
      </c>
      <c r="J22" s="4" t="s">
        <v>127</v>
      </c>
      <c r="K22" s="4" t="s">
        <v>64</v>
      </c>
      <c r="L22" s="4" t="s">
        <v>45</v>
      </c>
      <c r="M22" s="4">
        <v>87538</v>
      </c>
      <c r="N22" s="4" t="s">
        <v>32</v>
      </c>
      <c r="O22" s="4">
        <v>3588</v>
      </c>
      <c r="P22" s="4" t="s">
        <v>66</v>
      </c>
      <c r="Q22" s="4">
        <v>11</v>
      </c>
      <c r="R22" s="4">
        <v>5</v>
      </c>
      <c r="S22" s="4" t="s">
        <v>48</v>
      </c>
      <c r="T22" s="4" t="s">
        <v>67</v>
      </c>
      <c r="U22" s="4" t="s">
        <v>47</v>
      </c>
    </row>
    <row r="23" spans="1:21">
      <c r="A23" s="4">
        <v>6505</v>
      </c>
      <c r="B23" s="4" t="s">
        <v>128</v>
      </c>
      <c r="C23" s="4" t="s">
        <v>23</v>
      </c>
      <c r="D23" s="4">
        <v>28</v>
      </c>
      <c r="E23" s="4" t="s">
        <v>39</v>
      </c>
      <c r="F23" s="4" t="s">
        <v>25</v>
      </c>
      <c r="G23" s="4" t="s">
        <v>41</v>
      </c>
      <c r="H23" s="4" t="s">
        <v>82</v>
      </c>
      <c r="I23" s="4" t="s">
        <v>129</v>
      </c>
      <c r="J23" s="4" t="s">
        <v>130</v>
      </c>
      <c r="K23" s="4" t="s">
        <v>30</v>
      </c>
      <c r="L23" s="4" t="s">
        <v>45</v>
      </c>
      <c r="M23" s="4">
        <v>73002</v>
      </c>
      <c r="N23" s="4" t="s">
        <v>32</v>
      </c>
      <c r="O23" s="4">
        <v>6296</v>
      </c>
      <c r="P23" s="4" t="s">
        <v>33</v>
      </c>
      <c r="Q23" s="4">
        <v>2</v>
      </c>
      <c r="R23" s="4">
        <v>5</v>
      </c>
      <c r="S23" s="4" t="s">
        <v>48</v>
      </c>
      <c r="T23" s="4" t="s">
        <v>57</v>
      </c>
      <c r="U23" s="4" t="s">
        <v>36</v>
      </c>
    </row>
    <row r="24" spans="1:21">
      <c r="A24" s="4">
        <v>8626</v>
      </c>
      <c r="B24" s="4" t="s">
        <v>131</v>
      </c>
      <c r="C24" s="4" t="s">
        <v>38</v>
      </c>
      <c r="D24" s="4">
        <v>37</v>
      </c>
      <c r="E24" s="4" t="s">
        <v>60</v>
      </c>
      <c r="F24" s="4" t="s">
        <v>81</v>
      </c>
      <c r="G24" s="4" t="s">
        <v>41</v>
      </c>
      <c r="H24" s="4" t="s">
        <v>61</v>
      </c>
      <c r="I24" s="4" t="s">
        <v>132</v>
      </c>
      <c r="J24" s="4" t="s">
        <v>133</v>
      </c>
      <c r="K24" s="4" t="s">
        <v>112</v>
      </c>
      <c r="L24" s="4" t="s">
        <v>55</v>
      </c>
      <c r="M24" s="4">
        <v>41653</v>
      </c>
      <c r="N24" s="4" t="s">
        <v>56</v>
      </c>
      <c r="O24" s="4">
        <v>9236</v>
      </c>
      <c r="P24" s="4" t="s">
        <v>47</v>
      </c>
      <c r="Q24" s="4">
        <v>13</v>
      </c>
      <c r="R24" s="4">
        <v>1</v>
      </c>
      <c r="S24" s="4" t="s">
        <v>48</v>
      </c>
      <c r="T24" s="4" t="s">
        <v>35</v>
      </c>
      <c r="U24" s="4" t="s">
        <v>47</v>
      </c>
    </row>
    <row r="25" spans="1:21">
      <c r="A25" s="4">
        <v>5979</v>
      </c>
      <c r="B25" s="4" t="s">
        <v>134</v>
      </c>
      <c r="C25" s="4" t="s">
        <v>23</v>
      </c>
      <c r="D25" s="4">
        <v>31</v>
      </c>
      <c r="E25" s="4" t="s">
        <v>39</v>
      </c>
      <c r="F25" s="4" t="s">
        <v>25</v>
      </c>
      <c r="G25" s="4" t="s">
        <v>26</v>
      </c>
      <c r="H25" s="4" t="s">
        <v>52</v>
      </c>
      <c r="I25" s="4" t="s">
        <v>135</v>
      </c>
      <c r="J25" s="4" t="s">
        <v>136</v>
      </c>
      <c r="K25" s="4" t="s">
        <v>64</v>
      </c>
      <c r="L25" s="4" t="s">
        <v>45</v>
      </c>
      <c r="M25" s="4">
        <v>67582</v>
      </c>
      <c r="N25" s="4" t="s">
        <v>65</v>
      </c>
      <c r="O25" s="4">
        <v>1375</v>
      </c>
      <c r="P25" s="4" t="s">
        <v>33</v>
      </c>
      <c r="Q25" s="4">
        <v>20</v>
      </c>
      <c r="R25" s="4">
        <v>3</v>
      </c>
      <c r="S25" s="4" t="s">
        <v>48</v>
      </c>
      <c r="T25" s="4" t="s">
        <v>57</v>
      </c>
      <c r="U25" s="4" t="s">
        <v>47</v>
      </c>
    </row>
    <row r="26" spans="1:21">
      <c r="A26" s="4">
        <v>3104</v>
      </c>
      <c r="B26" s="4" t="s">
        <v>137</v>
      </c>
      <c r="C26" s="4" t="s">
        <v>23</v>
      </c>
      <c r="D26" s="4">
        <v>23</v>
      </c>
      <c r="E26" s="4" t="s">
        <v>24</v>
      </c>
      <c r="F26" s="4" t="s">
        <v>81</v>
      </c>
      <c r="G26" s="4" t="s">
        <v>41</v>
      </c>
      <c r="H26" s="4" t="s">
        <v>42</v>
      </c>
      <c r="I26" s="4" t="s">
        <v>138</v>
      </c>
      <c r="J26" s="4" t="s">
        <v>139</v>
      </c>
      <c r="K26" s="4" t="s">
        <v>112</v>
      </c>
      <c r="L26" s="4" t="s">
        <v>45</v>
      </c>
      <c r="M26" s="4">
        <v>37351</v>
      </c>
      <c r="N26" s="4" t="s">
        <v>56</v>
      </c>
      <c r="O26" s="4">
        <v>7858</v>
      </c>
      <c r="P26" s="4" t="s">
        <v>66</v>
      </c>
      <c r="Q26" s="4">
        <v>18</v>
      </c>
      <c r="R26" s="4">
        <v>2</v>
      </c>
      <c r="S26" s="4" t="s">
        <v>34</v>
      </c>
      <c r="T26" s="4" t="s">
        <v>57</v>
      </c>
      <c r="U26" s="4" t="s">
        <v>58</v>
      </c>
    </row>
    <row r="27" spans="1:21">
      <c r="A27" s="4">
        <v>8967</v>
      </c>
      <c r="B27" s="4" t="s">
        <v>140</v>
      </c>
      <c r="C27" s="4" t="s">
        <v>23</v>
      </c>
      <c r="D27" s="4">
        <v>48</v>
      </c>
      <c r="E27" s="4" t="s">
        <v>99</v>
      </c>
      <c r="F27" s="4" t="s">
        <v>103</v>
      </c>
      <c r="G27" s="4" t="s">
        <v>51</v>
      </c>
      <c r="H27" s="4" t="s">
        <v>27</v>
      </c>
      <c r="I27" s="4" t="s">
        <v>141</v>
      </c>
      <c r="J27" s="4" t="s">
        <v>142</v>
      </c>
      <c r="K27" s="4" t="s">
        <v>30</v>
      </c>
      <c r="L27" s="4" t="s">
        <v>45</v>
      </c>
      <c r="M27" s="4">
        <v>36721</v>
      </c>
      <c r="N27" s="4" t="s">
        <v>46</v>
      </c>
      <c r="O27" s="4">
        <v>8820</v>
      </c>
      <c r="P27" s="4" t="s">
        <v>66</v>
      </c>
      <c r="Q27" s="4">
        <v>0</v>
      </c>
      <c r="R27" s="4">
        <v>2</v>
      </c>
      <c r="S27" s="4" t="s">
        <v>48</v>
      </c>
      <c r="T27" s="4" t="s">
        <v>57</v>
      </c>
      <c r="U27" s="4" t="s">
        <v>36</v>
      </c>
    </row>
    <row r="28" spans="1:21">
      <c r="A28" s="4">
        <v>5087</v>
      </c>
      <c r="B28" s="4" t="s">
        <v>143</v>
      </c>
      <c r="C28" s="4" t="s">
        <v>38</v>
      </c>
      <c r="D28" s="4">
        <v>28</v>
      </c>
      <c r="E28" s="4" t="s">
        <v>39</v>
      </c>
      <c r="F28" s="4" t="s">
        <v>50</v>
      </c>
      <c r="G28" s="4" t="s">
        <v>122</v>
      </c>
      <c r="H28" s="4" t="s">
        <v>27</v>
      </c>
      <c r="I28" s="4" t="s">
        <v>144</v>
      </c>
      <c r="J28" s="4" t="s">
        <v>145</v>
      </c>
      <c r="K28" s="4" t="s">
        <v>64</v>
      </c>
      <c r="L28" s="4" t="s">
        <v>55</v>
      </c>
      <c r="M28" s="4">
        <v>46326</v>
      </c>
      <c r="N28" s="4" t="s">
        <v>46</v>
      </c>
      <c r="O28" s="4">
        <v>9189</v>
      </c>
      <c r="P28" s="4" t="s">
        <v>66</v>
      </c>
      <c r="Q28" s="4">
        <v>8</v>
      </c>
      <c r="R28" s="4">
        <v>4</v>
      </c>
      <c r="S28" s="4" t="s">
        <v>34</v>
      </c>
      <c r="T28" s="4" t="s">
        <v>76</v>
      </c>
      <c r="U28" s="4" t="s">
        <v>58</v>
      </c>
    </row>
    <row r="29" spans="1:21">
      <c r="A29" s="4">
        <v>3358</v>
      </c>
      <c r="B29" s="4" t="s">
        <v>146</v>
      </c>
      <c r="C29" s="4" t="s">
        <v>38</v>
      </c>
      <c r="D29" s="4">
        <v>30</v>
      </c>
      <c r="E29" s="4" t="s">
        <v>39</v>
      </c>
      <c r="F29" s="4" t="s">
        <v>40</v>
      </c>
      <c r="G29" s="4" t="s">
        <v>73</v>
      </c>
      <c r="H29" s="4" t="s">
        <v>42</v>
      </c>
      <c r="I29" s="4" t="s">
        <v>147</v>
      </c>
      <c r="J29" s="4" t="s">
        <v>148</v>
      </c>
      <c r="K29" s="4" t="s">
        <v>30</v>
      </c>
      <c r="L29" s="4" t="s">
        <v>31</v>
      </c>
      <c r="M29" s="4">
        <v>59007</v>
      </c>
      <c r="N29" s="4" t="s">
        <v>32</v>
      </c>
      <c r="O29" s="4">
        <v>3380</v>
      </c>
      <c r="P29" s="4" t="s">
        <v>33</v>
      </c>
      <c r="Q29" s="4">
        <v>17</v>
      </c>
      <c r="R29" s="4">
        <v>3</v>
      </c>
      <c r="S29" s="4" t="s">
        <v>47</v>
      </c>
      <c r="T29" s="4" t="s">
        <v>97</v>
      </c>
      <c r="U29" s="4" t="s">
        <v>36</v>
      </c>
    </row>
    <row r="30" spans="1:21">
      <c r="A30" s="4">
        <v>8256</v>
      </c>
      <c r="B30" s="4" t="s">
        <v>149</v>
      </c>
      <c r="C30" s="4" t="s">
        <v>38</v>
      </c>
      <c r="D30" s="4">
        <v>46</v>
      </c>
      <c r="E30" s="4" t="s">
        <v>99</v>
      </c>
      <c r="F30" s="4" t="s">
        <v>81</v>
      </c>
      <c r="G30" s="4" t="s">
        <v>26</v>
      </c>
      <c r="H30" s="4" t="s">
        <v>61</v>
      </c>
      <c r="I30" s="4" t="s">
        <v>150</v>
      </c>
      <c r="J30" s="4" t="s">
        <v>151</v>
      </c>
      <c r="K30" s="4" t="s">
        <v>30</v>
      </c>
      <c r="L30" s="4" t="s">
        <v>45</v>
      </c>
      <c r="M30" s="4">
        <v>52020</v>
      </c>
      <c r="N30" s="4" t="s">
        <v>46</v>
      </c>
      <c r="O30" s="4">
        <v>9585</v>
      </c>
      <c r="P30" s="4" t="s">
        <v>66</v>
      </c>
      <c r="Q30" s="4">
        <v>0</v>
      </c>
      <c r="R30" s="4">
        <v>4</v>
      </c>
      <c r="S30" s="4" t="s">
        <v>48</v>
      </c>
      <c r="T30" s="4" t="s">
        <v>97</v>
      </c>
      <c r="U30" s="4" t="s">
        <v>47</v>
      </c>
    </row>
    <row r="31" spans="1:21">
      <c r="A31" s="4">
        <v>5763</v>
      </c>
      <c r="B31" s="4" t="s">
        <v>152</v>
      </c>
      <c r="C31" s="4" t="s">
        <v>38</v>
      </c>
      <c r="D31" s="4">
        <v>44</v>
      </c>
      <c r="E31" s="4" t="s">
        <v>60</v>
      </c>
      <c r="F31" s="4" t="s">
        <v>40</v>
      </c>
      <c r="G31" s="4" t="s">
        <v>51</v>
      </c>
      <c r="H31" s="4" t="s">
        <v>42</v>
      </c>
      <c r="I31" s="4" t="s">
        <v>153</v>
      </c>
      <c r="J31" s="4" t="s">
        <v>154</v>
      </c>
      <c r="K31" s="4" t="s">
        <v>112</v>
      </c>
      <c r="L31" s="4" t="s">
        <v>45</v>
      </c>
      <c r="M31" s="4">
        <v>98961</v>
      </c>
      <c r="N31" s="4" t="s">
        <v>56</v>
      </c>
      <c r="O31" s="4">
        <v>2688</v>
      </c>
      <c r="P31" s="4" t="s">
        <v>33</v>
      </c>
      <c r="Q31" s="4">
        <v>2</v>
      </c>
      <c r="R31" s="4">
        <v>5</v>
      </c>
      <c r="S31" s="4" t="s">
        <v>48</v>
      </c>
      <c r="T31" s="4" t="s">
        <v>97</v>
      </c>
      <c r="U31" s="4" t="s">
        <v>36</v>
      </c>
    </row>
    <row r="32" spans="1:21">
      <c r="A32" s="4">
        <v>6838</v>
      </c>
      <c r="B32" s="4" t="s">
        <v>155</v>
      </c>
      <c r="C32" s="4" t="s">
        <v>38</v>
      </c>
      <c r="D32" s="4">
        <v>45</v>
      </c>
      <c r="E32" s="4" t="s">
        <v>60</v>
      </c>
      <c r="F32" s="4" t="s">
        <v>50</v>
      </c>
      <c r="G32" s="4" t="s">
        <v>73</v>
      </c>
      <c r="H32" s="4" t="s">
        <v>52</v>
      </c>
      <c r="I32" s="4" t="s">
        <v>156</v>
      </c>
      <c r="J32" s="4" t="s">
        <v>157</v>
      </c>
      <c r="K32" s="4" t="s">
        <v>112</v>
      </c>
      <c r="L32" s="4" t="s">
        <v>45</v>
      </c>
      <c r="M32" s="4">
        <v>81943</v>
      </c>
      <c r="N32" s="4" t="s">
        <v>32</v>
      </c>
      <c r="O32" s="4">
        <v>2255</v>
      </c>
      <c r="P32" s="4" t="s">
        <v>33</v>
      </c>
      <c r="Q32" s="4">
        <v>18</v>
      </c>
      <c r="R32" s="4">
        <v>2</v>
      </c>
      <c r="S32" s="4" t="s">
        <v>47</v>
      </c>
      <c r="T32" s="4" t="s">
        <v>67</v>
      </c>
      <c r="U32" s="4" t="s">
        <v>36</v>
      </c>
    </row>
    <row r="33" spans="1:21">
      <c r="A33" s="4">
        <v>9544</v>
      </c>
      <c r="B33" s="4" t="s">
        <v>158</v>
      </c>
      <c r="C33" s="4" t="s">
        <v>38</v>
      </c>
      <c r="D33" s="4">
        <v>52</v>
      </c>
      <c r="E33" s="4" t="s">
        <v>99</v>
      </c>
      <c r="F33" s="4" t="s">
        <v>103</v>
      </c>
      <c r="G33" s="4" t="s">
        <v>51</v>
      </c>
      <c r="H33" s="4" t="s">
        <v>42</v>
      </c>
      <c r="I33" s="4" t="s">
        <v>159</v>
      </c>
      <c r="J33" s="4" t="s">
        <v>160</v>
      </c>
      <c r="K33" s="4" t="s">
        <v>112</v>
      </c>
      <c r="L33" s="4" t="s">
        <v>45</v>
      </c>
      <c r="M33" s="4">
        <v>47627</v>
      </c>
      <c r="N33" s="4" t="s">
        <v>32</v>
      </c>
      <c r="O33" s="4">
        <v>1221</v>
      </c>
      <c r="P33" s="4" t="s">
        <v>47</v>
      </c>
      <c r="Q33" s="4">
        <v>4</v>
      </c>
      <c r="R33" s="4">
        <v>3</v>
      </c>
      <c r="S33" s="4" t="s">
        <v>47</v>
      </c>
      <c r="T33" s="4" t="s">
        <v>57</v>
      </c>
      <c r="U33" s="4" t="s">
        <v>47</v>
      </c>
    </row>
    <row r="34" spans="1:21">
      <c r="A34" s="4">
        <v>8012</v>
      </c>
      <c r="B34" s="4" t="s">
        <v>161</v>
      </c>
      <c r="C34" s="4" t="s">
        <v>23</v>
      </c>
      <c r="D34" s="4">
        <v>52</v>
      </c>
      <c r="E34" s="4" t="s">
        <v>99</v>
      </c>
      <c r="F34" s="4" t="s">
        <v>25</v>
      </c>
      <c r="G34" s="4" t="s">
        <v>26</v>
      </c>
      <c r="H34" s="4" t="s">
        <v>82</v>
      </c>
      <c r="I34" s="4" t="s">
        <v>162</v>
      </c>
      <c r="J34" s="4" t="s">
        <v>163</v>
      </c>
      <c r="K34" s="4" t="s">
        <v>112</v>
      </c>
      <c r="L34" s="4" t="s">
        <v>45</v>
      </c>
      <c r="M34" s="4">
        <v>56162</v>
      </c>
      <c r="N34" s="4" t="s">
        <v>56</v>
      </c>
      <c r="O34" s="4">
        <v>6560</v>
      </c>
      <c r="P34" s="4" t="s">
        <v>66</v>
      </c>
      <c r="Q34" s="4">
        <v>9</v>
      </c>
      <c r="R34" s="4">
        <v>4</v>
      </c>
      <c r="S34" s="4" t="s">
        <v>48</v>
      </c>
      <c r="T34" s="4" t="s">
        <v>76</v>
      </c>
      <c r="U34" s="4" t="s">
        <v>47</v>
      </c>
    </row>
    <row r="35" spans="1:21">
      <c r="A35" s="4">
        <v>9374</v>
      </c>
      <c r="B35" s="4" t="s">
        <v>164</v>
      </c>
      <c r="C35" s="4" t="s">
        <v>23</v>
      </c>
      <c r="D35" s="4">
        <v>42</v>
      </c>
      <c r="E35" s="4" t="s">
        <v>60</v>
      </c>
      <c r="F35" s="4" t="s">
        <v>40</v>
      </c>
      <c r="G35" s="4" t="s">
        <v>51</v>
      </c>
      <c r="H35" s="4" t="s">
        <v>52</v>
      </c>
      <c r="I35" s="4" t="s">
        <v>165</v>
      </c>
      <c r="J35" s="4" t="s">
        <v>166</v>
      </c>
      <c r="K35" s="4" t="s">
        <v>64</v>
      </c>
      <c r="L35" s="4" t="s">
        <v>55</v>
      </c>
      <c r="M35" s="4">
        <v>95734</v>
      </c>
      <c r="N35" s="4" t="s">
        <v>32</v>
      </c>
      <c r="O35" s="4">
        <v>4854</v>
      </c>
      <c r="P35" s="4" t="s">
        <v>33</v>
      </c>
      <c r="Q35" s="4">
        <v>13</v>
      </c>
      <c r="R35" s="4">
        <v>2</v>
      </c>
      <c r="S35" s="4" t="s">
        <v>34</v>
      </c>
      <c r="T35" s="4" t="s">
        <v>35</v>
      </c>
      <c r="U35" s="4" t="s">
        <v>36</v>
      </c>
    </row>
    <row r="36" spans="1:21">
      <c r="A36" s="4">
        <v>3487</v>
      </c>
      <c r="B36" s="4" t="s">
        <v>167</v>
      </c>
      <c r="C36" s="4" t="s">
        <v>38</v>
      </c>
      <c r="D36" s="4">
        <v>58</v>
      </c>
      <c r="E36" s="4" t="s">
        <v>69</v>
      </c>
      <c r="F36" s="4" t="s">
        <v>40</v>
      </c>
      <c r="G36" s="4" t="s">
        <v>41</v>
      </c>
      <c r="H36" s="4" t="s">
        <v>61</v>
      </c>
      <c r="I36" s="4" t="s">
        <v>168</v>
      </c>
      <c r="J36" s="4" t="s">
        <v>169</v>
      </c>
      <c r="K36" s="4" t="s">
        <v>64</v>
      </c>
      <c r="L36" s="4" t="s">
        <v>55</v>
      </c>
      <c r="M36" s="4">
        <v>74789</v>
      </c>
      <c r="N36" s="4" t="s">
        <v>32</v>
      </c>
      <c r="O36" s="4">
        <v>8101</v>
      </c>
      <c r="P36" s="4" t="s">
        <v>66</v>
      </c>
      <c r="Q36" s="4">
        <v>14</v>
      </c>
      <c r="R36" s="4">
        <v>5</v>
      </c>
      <c r="S36" s="4" t="s">
        <v>48</v>
      </c>
      <c r="T36" s="4" t="s">
        <v>67</v>
      </c>
      <c r="U36" s="4" t="s">
        <v>47</v>
      </c>
    </row>
    <row r="37" spans="1:21">
      <c r="A37" s="4">
        <v>8445</v>
      </c>
      <c r="B37" s="4" t="s">
        <v>170</v>
      </c>
      <c r="C37" s="4" t="s">
        <v>23</v>
      </c>
      <c r="D37" s="4">
        <v>24</v>
      </c>
      <c r="E37" s="4" t="s">
        <v>24</v>
      </c>
      <c r="F37" s="4" t="s">
        <v>103</v>
      </c>
      <c r="G37" s="4" t="s">
        <v>26</v>
      </c>
      <c r="H37" s="4" t="s">
        <v>61</v>
      </c>
      <c r="I37" s="4" t="s">
        <v>171</v>
      </c>
      <c r="J37" s="4" t="s">
        <v>172</v>
      </c>
      <c r="K37" s="4" t="s">
        <v>30</v>
      </c>
      <c r="L37" s="4" t="s">
        <v>55</v>
      </c>
      <c r="M37" s="4">
        <v>30137</v>
      </c>
      <c r="N37" s="4" t="s">
        <v>46</v>
      </c>
      <c r="O37" s="4">
        <v>4031</v>
      </c>
      <c r="P37" s="4" t="s">
        <v>47</v>
      </c>
      <c r="Q37" s="4">
        <v>5</v>
      </c>
      <c r="R37" s="4">
        <v>3</v>
      </c>
      <c r="S37" s="4" t="s">
        <v>47</v>
      </c>
      <c r="T37" s="4" t="s">
        <v>57</v>
      </c>
      <c r="U37" s="4" t="s">
        <v>36</v>
      </c>
    </row>
    <row r="38" spans="1:21">
      <c r="A38" s="4">
        <v>1550</v>
      </c>
      <c r="B38" s="4" t="s">
        <v>173</v>
      </c>
      <c r="C38" s="4" t="s">
        <v>38</v>
      </c>
      <c r="D38" s="4">
        <v>21</v>
      </c>
      <c r="E38" s="4" t="s">
        <v>24</v>
      </c>
      <c r="F38" s="4" t="s">
        <v>40</v>
      </c>
      <c r="G38" s="4" t="s">
        <v>26</v>
      </c>
      <c r="H38" s="4" t="s">
        <v>27</v>
      </c>
      <c r="I38" s="4" t="s">
        <v>174</v>
      </c>
      <c r="J38" s="4" t="s">
        <v>175</v>
      </c>
      <c r="K38" s="4" t="s">
        <v>30</v>
      </c>
      <c r="L38" s="4" t="s">
        <v>55</v>
      </c>
      <c r="M38" s="4">
        <v>95510</v>
      </c>
      <c r="N38" s="4" t="s">
        <v>32</v>
      </c>
      <c r="O38" s="4">
        <v>6811</v>
      </c>
      <c r="P38" s="4" t="s">
        <v>33</v>
      </c>
      <c r="Q38" s="4">
        <v>18</v>
      </c>
      <c r="R38" s="4">
        <v>4</v>
      </c>
      <c r="S38" s="4" t="s">
        <v>48</v>
      </c>
      <c r="T38" s="4" t="s">
        <v>97</v>
      </c>
      <c r="U38" s="4" t="s">
        <v>36</v>
      </c>
    </row>
    <row r="39" spans="1:21">
      <c r="A39" s="4">
        <v>9968</v>
      </c>
      <c r="B39" s="4" t="s">
        <v>176</v>
      </c>
      <c r="C39" s="4" t="s">
        <v>38</v>
      </c>
      <c r="D39" s="4">
        <v>58</v>
      </c>
      <c r="E39" s="4" t="s">
        <v>69</v>
      </c>
      <c r="F39" s="4" t="s">
        <v>40</v>
      </c>
      <c r="G39" s="4" t="s">
        <v>73</v>
      </c>
      <c r="H39" s="4" t="s">
        <v>27</v>
      </c>
      <c r="I39" s="4" t="s">
        <v>177</v>
      </c>
      <c r="J39" s="4" t="s">
        <v>178</v>
      </c>
      <c r="K39" s="4" t="s">
        <v>64</v>
      </c>
      <c r="L39" s="4" t="s">
        <v>31</v>
      </c>
      <c r="M39" s="4">
        <v>80325</v>
      </c>
      <c r="N39" s="4" t="s">
        <v>46</v>
      </c>
      <c r="O39" s="4">
        <v>6230</v>
      </c>
      <c r="P39" s="4" t="s">
        <v>33</v>
      </c>
      <c r="Q39" s="4">
        <v>5</v>
      </c>
      <c r="R39" s="4">
        <v>4</v>
      </c>
      <c r="S39" s="4" t="s">
        <v>47</v>
      </c>
      <c r="T39" s="4" t="s">
        <v>67</v>
      </c>
      <c r="U39" s="4" t="s">
        <v>58</v>
      </c>
    </row>
    <row r="40" spans="1:21">
      <c r="A40" s="4">
        <v>8029</v>
      </c>
      <c r="B40" s="4" t="s">
        <v>179</v>
      </c>
      <c r="C40" s="4" t="s">
        <v>23</v>
      </c>
      <c r="D40" s="4">
        <v>57</v>
      </c>
      <c r="E40" s="4" t="s">
        <v>69</v>
      </c>
      <c r="F40" s="4" t="s">
        <v>81</v>
      </c>
      <c r="G40" s="4" t="s">
        <v>122</v>
      </c>
      <c r="H40" s="4" t="s">
        <v>82</v>
      </c>
      <c r="I40" s="4" t="s">
        <v>180</v>
      </c>
      <c r="J40" s="4" t="s">
        <v>181</v>
      </c>
      <c r="K40" s="4" t="s">
        <v>112</v>
      </c>
      <c r="L40" s="4" t="s">
        <v>45</v>
      </c>
      <c r="M40" s="4">
        <v>34109</v>
      </c>
      <c r="N40" s="4" t="s">
        <v>46</v>
      </c>
      <c r="O40" s="4">
        <v>9232</v>
      </c>
      <c r="P40" s="4" t="s">
        <v>33</v>
      </c>
      <c r="Q40" s="4">
        <v>13</v>
      </c>
      <c r="R40" s="4">
        <v>3</v>
      </c>
      <c r="S40" s="4" t="s">
        <v>34</v>
      </c>
      <c r="T40" s="4" t="s">
        <v>35</v>
      </c>
      <c r="U40" s="4" t="s">
        <v>36</v>
      </c>
    </row>
    <row r="41" spans="1:21">
      <c r="A41" s="4">
        <v>8847</v>
      </c>
      <c r="B41" s="4" t="s">
        <v>182</v>
      </c>
      <c r="C41" s="4" t="s">
        <v>38</v>
      </c>
      <c r="D41" s="4">
        <v>41</v>
      </c>
      <c r="E41" s="4" t="s">
        <v>60</v>
      </c>
      <c r="F41" s="4" t="s">
        <v>81</v>
      </c>
      <c r="G41" s="4" t="s">
        <v>73</v>
      </c>
      <c r="H41" s="4" t="s">
        <v>27</v>
      </c>
      <c r="I41" s="4" t="s">
        <v>183</v>
      </c>
      <c r="J41" s="4" t="s">
        <v>184</v>
      </c>
      <c r="K41" s="4" t="s">
        <v>112</v>
      </c>
      <c r="L41" s="4" t="s">
        <v>55</v>
      </c>
      <c r="M41" s="4">
        <v>73330</v>
      </c>
      <c r="N41" s="4" t="s">
        <v>32</v>
      </c>
      <c r="O41" s="4">
        <v>2276</v>
      </c>
      <c r="P41" s="4" t="s">
        <v>66</v>
      </c>
      <c r="Q41" s="4">
        <v>5</v>
      </c>
      <c r="R41" s="4">
        <v>1</v>
      </c>
      <c r="S41" s="4" t="s">
        <v>47</v>
      </c>
      <c r="T41" s="4" t="s">
        <v>57</v>
      </c>
      <c r="U41" s="4" t="s">
        <v>58</v>
      </c>
    </row>
    <row r="42" spans="1:21">
      <c r="A42" s="4">
        <v>1955</v>
      </c>
      <c r="B42" s="4" t="s">
        <v>185</v>
      </c>
      <c r="C42" s="4" t="s">
        <v>23</v>
      </c>
      <c r="D42" s="4">
        <v>58</v>
      </c>
      <c r="E42" s="4" t="s">
        <v>69</v>
      </c>
      <c r="F42" s="4" t="s">
        <v>50</v>
      </c>
      <c r="G42" s="4" t="s">
        <v>51</v>
      </c>
      <c r="H42" s="4" t="s">
        <v>42</v>
      </c>
      <c r="I42" s="4" t="s">
        <v>186</v>
      </c>
      <c r="J42" s="4" t="s">
        <v>187</v>
      </c>
      <c r="K42" s="4" t="s">
        <v>64</v>
      </c>
      <c r="L42" s="4" t="s">
        <v>55</v>
      </c>
      <c r="M42" s="4">
        <v>46567</v>
      </c>
      <c r="N42" s="4" t="s">
        <v>65</v>
      </c>
      <c r="O42" s="4">
        <v>2825</v>
      </c>
      <c r="P42" s="4" t="s">
        <v>33</v>
      </c>
      <c r="Q42" s="4">
        <v>15</v>
      </c>
      <c r="R42" s="4">
        <v>3</v>
      </c>
      <c r="S42" s="4" t="s">
        <v>47</v>
      </c>
      <c r="T42" s="4" t="s">
        <v>97</v>
      </c>
      <c r="U42" s="4" t="s">
        <v>58</v>
      </c>
    </row>
    <row r="43" spans="1:21">
      <c r="A43" s="4">
        <v>4522</v>
      </c>
      <c r="B43" s="4" t="s">
        <v>188</v>
      </c>
      <c r="C43" s="4" t="s">
        <v>23</v>
      </c>
      <c r="D43" s="4">
        <v>36</v>
      </c>
      <c r="E43" s="4" t="s">
        <v>60</v>
      </c>
      <c r="F43" s="4" t="s">
        <v>25</v>
      </c>
      <c r="G43" s="4" t="s">
        <v>122</v>
      </c>
      <c r="H43" s="4" t="s">
        <v>27</v>
      </c>
      <c r="I43" s="4" t="s">
        <v>189</v>
      </c>
      <c r="J43" s="4" t="s">
        <v>190</v>
      </c>
      <c r="K43" s="4" t="s">
        <v>64</v>
      </c>
      <c r="L43" s="4" t="s">
        <v>45</v>
      </c>
      <c r="M43" s="4">
        <v>39795</v>
      </c>
      <c r="N43" s="4" t="s">
        <v>65</v>
      </c>
      <c r="O43" s="4">
        <v>1670</v>
      </c>
      <c r="P43" s="4" t="s">
        <v>47</v>
      </c>
      <c r="Q43" s="4">
        <v>0</v>
      </c>
      <c r="R43" s="4">
        <v>2</v>
      </c>
      <c r="S43" s="4" t="s">
        <v>48</v>
      </c>
      <c r="T43" s="4" t="s">
        <v>76</v>
      </c>
      <c r="U43" s="4" t="s">
        <v>47</v>
      </c>
    </row>
    <row r="44" spans="1:21">
      <c r="A44" s="4">
        <v>3078</v>
      </c>
      <c r="B44" s="4" t="s">
        <v>191</v>
      </c>
      <c r="C44" s="4" t="s">
        <v>23</v>
      </c>
      <c r="D44" s="4">
        <v>21</v>
      </c>
      <c r="E44" s="4" t="s">
        <v>24</v>
      </c>
      <c r="F44" s="4" t="s">
        <v>25</v>
      </c>
      <c r="G44" s="4" t="s">
        <v>26</v>
      </c>
      <c r="H44" s="4" t="s">
        <v>82</v>
      </c>
      <c r="I44" s="4" t="s">
        <v>192</v>
      </c>
      <c r="J44" s="4" t="s">
        <v>193</v>
      </c>
      <c r="K44" s="4" t="s">
        <v>64</v>
      </c>
      <c r="L44" s="4" t="s">
        <v>55</v>
      </c>
      <c r="M44" s="4">
        <v>59506</v>
      </c>
      <c r="N44" s="4" t="s">
        <v>65</v>
      </c>
      <c r="O44" s="4">
        <v>4428</v>
      </c>
      <c r="P44" s="4" t="s">
        <v>66</v>
      </c>
      <c r="Q44" s="4">
        <v>0</v>
      </c>
      <c r="R44" s="4">
        <v>1</v>
      </c>
      <c r="S44" s="4" t="s">
        <v>47</v>
      </c>
      <c r="T44" s="4" t="s">
        <v>76</v>
      </c>
      <c r="U44" s="4" t="s">
        <v>36</v>
      </c>
    </row>
    <row r="45" spans="1:21">
      <c r="A45" s="4">
        <v>6357</v>
      </c>
      <c r="B45" s="4" t="s">
        <v>194</v>
      </c>
      <c r="C45" s="4" t="s">
        <v>23</v>
      </c>
      <c r="D45" s="4">
        <v>46</v>
      </c>
      <c r="E45" s="4" t="s">
        <v>99</v>
      </c>
      <c r="F45" s="4" t="s">
        <v>50</v>
      </c>
      <c r="G45" s="4" t="s">
        <v>41</v>
      </c>
      <c r="H45" s="4" t="s">
        <v>82</v>
      </c>
      <c r="I45" s="4" t="s">
        <v>195</v>
      </c>
      <c r="J45" s="4" t="s">
        <v>196</v>
      </c>
      <c r="K45" s="4" t="s">
        <v>64</v>
      </c>
      <c r="L45" s="4" t="s">
        <v>55</v>
      </c>
      <c r="M45" s="4">
        <v>49058</v>
      </c>
      <c r="N45" s="4" t="s">
        <v>46</v>
      </c>
      <c r="O45" s="4">
        <v>4396</v>
      </c>
      <c r="P45" s="4" t="s">
        <v>47</v>
      </c>
      <c r="Q45" s="4">
        <v>5</v>
      </c>
      <c r="R45" s="4">
        <v>1</v>
      </c>
      <c r="S45" s="4" t="s">
        <v>47</v>
      </c>
      <c r="T45" s="4" t="s">
        <v>76</v>
      </c>
      <c r="U45" s="4" t="s">
        <v>47</v>
      </c>
    </row>
    <row r="46" spans="1:21">
      <c r="A46" s="4">
        <v>7951</v>
      </c>
      <c r="B46" s="4" t="s">
        <v>197</v>
      </c>
      <c r="C46" s="4" t="s">
        <v>23</v>
      </c>
      <c r="D46" s="4">
        <v>36</v>
      </c>
      <c r="E46" s="4" t="s">
        <v>60</v>
      </c>
      <c r="F46" s="4" t="s">
        <v>81</v>
      </c>
      <c r="G46" s="4" t="s">
        <v>51</v>
      </c>
      <c r="H46" s="4" t="s">
        <v>82</v>
      </c>
      <c r="I46" s="4" t="s">
        <v>198</v>
      </c>
      <c r="J46" s="4" t="s">
        <v>199</v>
      </c>
      <c r="K46" s="4" t="s">
        <v>64</v>
      </c>
      <c r="L46" s="4" t="s">
        <v>31</v>
      </c>
      <c r="M46" s="4">
        <v>98612</v>
      </c>
      <c r="N46" s="4" t="s">
        <v>65</v>
      </c>
      <c r="O46" s="4">
        <v>1168</v>
      </c>
      <c r="P46" s="4" t="s">
        <v>47</v>
      </c>
      <c r="Q46" s="4">
        <v>9</v>
      </c>
      <c r="R46" s="4">
        <v>2</v>
      </c>
      <c r="S46" s="4" t="s">
        <v>48</v>
      </c>
      <c r="T46" s="4" t="s">
        <v>35</v>
      </c>
      <c r="U46" s="4" t="s">
        <v>36</v>
      </c>
    </row>
    <row r="47" spans="1:21">
      <c r="A47" s="4">
        <v>9228</v>
      </c>
      <c r="B47" s="4" t="s">
        <v>200</v>
      </c>
      <c r="C47" s="4" t="s">
        <v>38</v>
      </c>
      <c r="D47" s="4">
        <v>41</v>
      </c>
      <c r="E47" s="4" t="s">
        <v>60</v>
      </c>
      <c r="F47" s="4" t="s">
        <v>103</v>
      </c>
      <c r="G47" s="4" t="s">
        <v>73</v>
      </c>
      <c r="H47" s="4" t="s">
        <v>42</v>
      </c>
      <c r="I47" s="4" t="s">
        <v>201</v>
      </c>
      <c r="J47" s="4" t="s">
        <v>202</v>
      </c>
      <c r="K47" s="4" t="s">
        <v>112</v>
      </c>
      <c r="L47" s="4" t="s">
        <v>45</v>
      </c>
      <c r="M47" s="4">
        <v>38201</v>
      </c>
      <c r="N47" s="4" t="s">
        <v>65</v>
      </c>
      <c r="O47" s="4">
        <v>7111</v>
      </c>
      <c r="P47" s="4" t="s">
        <v>33</v>
      </c>
      <c r="Q47" s="4">
        <v>8</v>
      </c>
      <c r="R47" s="4">
        <v>4</v>
      </c>
      <c r="S47" s="4" t="s">
        <v>34</v>
      </c>
      <c r="T47" s="4" t="s">
        <v>76</v>
      </c>
      <c r="U47" s="4" t="s">
        <v>47</v>
      </c>
    </row>
    <row r="48" spans="1:21">
      <c r="A48" s="4">
        <v>8988</v>
      </c>
      <c r="B48" s="4" t="s">
        <v>203</v>
      </c>
      <c r="C48" s="4" t="s">
        <v>38</v>
      </c>
      <c r="D48" s="4">
        <v>25</v>
      </c>
      <c r="E48" s="4" t="s">
        <v>24</v>
      </c>
      <c r="F48" s="4" t="s">
        <v>25</v>
      </c>
      <c r="G48" s="4" t="s">
        <v>51</v>
      </c>
      <c r="H48" s="4" t="s">
        <v>52</v>
      </c>
      <c r="I48" s="4" t="s">
        <v>204</v>
      </c>
      <c r="J48" s="4" t="s">
        <v>205</v>
      </c>
      <c r="K48" s="4" t="s">
        <v>112</v>
      </c>
      <c r="L48" s="4" t="s">
        <v>45</v>
      </c>
      <c r="M48" s="4">
        <v>92919</v>
      </c>
      <c r="N48" s="4" t="s">
        <v>56</v>
      </c>
      <c r="O48" s="4">
        <v>9497</v>
      </c>
      <c r="P48" s="4" t="s">
        <v>33</v>
      </c>
      <c r="Q48" s="4">
        <v>7</v>
      </c>
      <c r="R48" s="4">
        <v>2</v>
      </c>
      <c r="S48" s="4" t="s">
        <v>47</v>
      </c>
      <c r="T48" s="4" t="s">
        <v>76</v>
      </c>
      <c r="U48" s="4" t="s">
        <v>58</v>
      </c>
    </row>
    <row r="49" spans="1:21">
      <c r="A49" s="4">
        <v>1952</v>
      </c>
      <c r="B49" s="4" t="s">
        <v>206</v>
      </c>
      <c r="C49" s="4" t="s">
        <v>23</v>
      </c>
      <c r="D49" s="4">
        <v>29</v>
      </c>
      <c r="E49" s="4" t="s">
        <v>39</v>
      </c>
      <c r="F49" s="4" t="s">
        <v>103</v>
      </c>
      <c r="G49" s="4" t="s">
        <v>26</v>
      </c>
      <c r="H49" s="4" t="s">
        <v>42</v>
      </c>
      <c r="I49" s="4" t="s">
        <v>207</v>
      </c>
      <c r="J49" s="4" t="s">
        <v>208</v>
      </c>
      <c r="K49" s="4" t="s">
        <v>30</v>
      </c>
      <c r="L49" s="4" t="s">
        <v>55</v>
      </c>
      <c r="M49" s="4">
        <v>45188</v>
      </c>
      <c r="N49" s="4" t="s">
        <v>65</v>
      </c>
      <c r="O49" s="4">
        <v>9591</v>
      </c>
      <c r="P49" s="4" t="s">
        <v>66</v>
      </c>
      <c r="Q49" s="4">
        <v>18</v>
      </c>
      <c r="R49" s="4">
        <v>3</v>
      </c>
      <c r="S49" s="4" t="s">
        <v>34</v>
      </c>
      <c r="T49" s="4" t="s">
        <v>76</v>
      </c>
      <c r="U49" s="4" t="s">
        <v>47</v>
      </c>
    </row>
    <row r="50" spans="1:21">
      <c r="A50" s="4">
        <v>5760</v>
      </c>
      <c r="B50" s="4" t="s">
        <v>209</v>
      </c>
      <c r="C50" s="4" t="s">
        <v>23</v>
      </c>
      <c r="D50" s="4">
        <v>59</v>
      </c>
      <c r="E50" s="4" t="s">
        <v>69</v>
      </c>
      <c r="F50" s="4" t="s">
        <v>50</v>
      </c>
      <c r="G50" s="4" t="s">
        <v>41</v>
      </c>
      <c r="H50" s="4" t="s">
        <v>27</v>
      </c>
      <c r="I50" s="4" t="s">
        <v>210</v>
      </c>
      <c r="J50" s="4" t="s">
        <v>211</v>
      </c>
      <c r="K50" s="4" t="s">
        <v>30</v>
      </c>
      <c r="L50" s="4" t="s">
        <v>45</v>
      </c>
      <c r="M50" s="4">
        <v>34927</v>
      </c>
      <c r="N50" s="4" t="s">
        <v>56</v>
      </c>
      <c r="O50" s="4">
        <v>6996</v>
      </c>
      <c r="P50" s="4" t="s">
        <v>66</v>
      </c>
      <c r="Q50" s="4">
        <v>16</v>
      </c>
      <c r="R50" s="4">
        <v>1</v>
      </c>
      <c r="S50" s="4" t="s">
        <v>48</v>
      </c>
      <c r="T50" s="4" t="s">
        <v>35</v>
      </c>
      <c r="U50" s="4" t="s">
        <v>36</v>
      </c>
    </row>
    <row r="51" spans="1:21">
      <c r="A51" s="4">
        <v>5742</v>
      </c>
      <c r="B51" s="4" t="s">
        <v>212</v>
      </c>
      <c r="C51" s="4" t="s">
        <v>23</v>
      </c>
      <c r="D51" s="4">
        <v>27</v>
      </c>
      <c r="E51" s="4" t="s">
        <v>39</v>
      </c>
      <c r="F51" s="4" t="s">
        <v>25</v>
      </c>
      <c r="G51" s="4" t="s">
        <v>51</v>
      </c>
      <c r="H51" s="4" t="s">
        <v>61</v>
      </c>
      <c r="I51" s="4" t="s">
        <v>213</v>
      </c>
      <c r="J51" s="4" t="s">
        <v>214</v>
      </c>
      <c r="K51" s="4" t="s">
        <v>30</v>
      </c>
      <c r="L51" s="4" t="s">
        <v>45</v>
      </c>
      <c r="M51" s="4">
        <v>33183</v>
      </c>
      <c r="N51" s="4" t="s">
        <v>65</v>
      </c>
      <c r="O51" s="4">
        <v>1659</v>
      </c>
      <c r="P51" s="4" t="s">
        <v>47</v>
      </c>
      <c r="Q51" s="4">
        <v>11</v>
      </c>
      <c r="R51" s="4">
        <v>1</v>
      </c>
      <c r="S51" s="4" t="s">
        <v>34</v>
      </c>
      <c r="T51" s="4" t="s">
        <v>67</v>
      </c>
      <c r="U51" s="4"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CE90-3A4A-45F4-A4A8-18F5BCEBB9D4}">
  <sheetPr codeName="Sheet3"/>
  <dimension ref="B3:Z40"/>
  <sheetViews>
    <sheetView zoomScale="59" zoomScaleNormal="80" workbookViewId="0">
      <selection activeCell="I12" sqref="I12"/>
    </sheetView>
  </sheetViews>
  <sheetFormatPr defaultRowHeight="14.5"/>
  <cols>
    <col min="1" max="1" width="2.6328125" customWidth="1"/>
    <col min="2" max="2" width="14.26953125" bestFit="1" customWidth="1"/>
    <col min="3" max="3" width="17.36328125" bestFit="1" customWidth="1"/>
    <col min="4" max="4" width="2.6328125" customWidth="1"/>
    <col min="5" max="5" width="14.26953125" bestFit="1" customWidth="1"/>
    <col min="6" max="6" width="12.26953125" bestFit="1" customWidth="1"/>
    <col min="7" max="7" width="17.81640625" bestFit="1" customWidth="1"/>
    <col min="8" max="8" width="4.54296875" customWidth="1"/>
    <col min="9" max="9" width="17.36328125" bestFit="1" customWidth="1"/>
    <col min="10" max="10" width="17" bestFit="1" customWidth="1"/>
    <col min="11" max="11" width="5.1796875" bestFit="1" customWidth="1"/>
    <col min="12" max="13" width="10.7265625" bestFit="1" customWidth="1"/>
    <col min="14" max="14" width="14.26953125" bestFit="1" customWidth="1"/>
    <col min="15" max="15" width="17.36328125" bestFit="1" customWidth="1"/>
    <col min="18" max="18" width="2.6328125" customWidth="1"/>
    <col min="19" max="19" width="14.54296875" bestFit="1" customWidth="1"/>
    <col min="20" max="20" width="17.36328125" bestFit="1" customWidth="1"/>
    <col min="21" max="21" width="2.6328125" customWidth="1"/>
    <col min="22" max="22" width="14.26953125" bestFit="1" customWidth="1"/>
    <col min="23" max="23" width="17.36328125" bestFit="1" customWidth="1"/>
    <col min="24" max="24" width="2.6328125" customWidth="1"/>
    <col min="25" max="25" width="14.26953125" bestFit="1" customWidth="1"/>
    <col min="26" max="26" width="27.81640625" bestFit="1" customWidth="1"/>
  </cols>
  <sheetData>
    <row r="3" spans="2:26" ht="20" customHeight="1">
      <c r="B3" s="7" t="s">
        <v>218</v>
      </c>
      <c r="C3" s="7"/>
      <c r="E3" s="7" t="s">
        <v>221</v>
      </c>
      <c r="F3" s="7"/>
      <c r="G3" s="7"/>
      <c r="H3" s="7"/>
      <c r="I3" s="12" t="s">
        <v>223</v>
      </c>
      <c r="J3" s="12"/>
      <c r="N3" s="16" t="s">
        <v>224</v>
      </c>
      <c r="O3" s="16"/>
      <c r="S3" s="11" t="s">
        <v>20</v>
      </c>
      <c r="T3" s="11"/>
      <c r="V3" s="11" t="s">
        <v>226</v>
      </c>
      <c r="W3" s="11"/>
      <c r="Y3" s="11" t="s">
        <v>228</v>
      </c>
      <c r="Z3" s="11"/>
    </row>
    <row r="4" spans="2:26">
      <c r="B4" s="8"/>
      <c r="C4" s="8"/>
    </row>
    <row r="5" spans="2:26">
      <c r="B5" s="5" t="s">
        <v>215</v>
      </c>
      <c r="C5" t="s">
        <v>217</v>
      </c>
      <c r="E5" s="5" t="s">
        <v>215</v>
      </c>
      <c r="F5" t="s">
        <v>220</v>
      </c>
      <c r="G5" t="s">
        <v>225</v>
      </c>
      <c r="I5" s="5" t="s">
        <v>217</v>
      </c>
      <c r="J5" s="5" t="s">
        <v>222</v>
      </c>
      <c r="N5" s="5" t="s">
        <v>215</v>
      </c>
      <c r="O5" t="s">
        <v>217</v>
      </c>
      <c r="S5" s="5" t="s">
        <v>215</v>
      </c>
      <c r="T5" t="s">
        <v>217</v>
      </c>
      <c r="V5" s="5" t="s">
        <v>215</v>
      </c>
      <c r="W5" t="s">
        <v>217</v>
      </c>
      <c r="Y5" s="5" t="s">
        <v>215</v>
      </c>
      <c r="Z5" t="s">
        <v>227</v>
      </c>
    </row>
    <row r="6" spans="2:26">
      <c r="B6" s="6" t="s">
        <v>64</v>
      </c>
      <c r="C6" s="21">
        <v>17</v>
      </c>
      <c r="E6" s="6" t="s">
        <v>122</v>
      </c>
      <c r="F6" s="9">
        <v>167041</v>
      </c>
      <c r="G6" s="9">
        <v>28</v>
      </c>
      <c r="H6" s="9"/>
      <c r="I6" s="5" t="s">
        <v>215</v>
      </c>
      <c r="J6" t="s">
        <v>23</v>
      </c>
      <c r="K6" t="s">
        <v>38</v>
      </c>
      <c r="L6" t="s">
        <v>216</v>
      </c>
      <c r="N6" s="6" t="s">
        <v>45</v>
      </c>
      <c r="O6" s="21">
        <v>23</v>
      </c>
      <c r="S6" s="6" t="s">
        <v>76</v>
      </c>
      <c r="T6" s="21">
        <v>12</v>
      </c>
      <c r="V6" s="6" t="s">
        <v>40</v>
      </c>
      <c r="W6" s="21">
        <v>14</v>
      </c>
      <c r="Y6" s="6" t="s">
        <v>27</v>
      </c>
      <c r="Z6" s="18">
        <v>2.5833333333333335</v>
      </c>
    </row>
    <row r="7" spans="2:26">
      <c r="B7" s="6" t="s">
        <v>30</v>
      </c>
      <c r="C7" s="21">
        <v>20</v>
      </c>
      <c r="E7" s="6" t="s">
        <v>41</v>
      </c>
      <c r="F7" s="9">
        <v>613842</v>
      </c>
      <c r="G7" s="9">
        <v>110</v>
      </c>
      <c r="H7" s="9"/>
      <c r="I7" s="6" t="s">
        <v>24</v>
      </c>
      <c r="J7" s="21">
        <v>6</v>
      </c>
      <c r="K7" s="21">
        <v>3</v>
      </c>
      <c r="L7" s="21">
        <v>9</v>
      </c>
      <c r="N7" s="6" t="s">
        <v>31</v>
      </c>
      <c r="O7" s="21">
        <v>8</v>
      </c>
      <c r="S7" s="6" t="s">
        <v>35</v>
      </c>
      <c r="T7" s="21">
        <v>11</v>
      </c>
      <c r="V7" s="6" t="s">
        <v>25</v>
      </c>
      <c r="W7" s="21">
        <v>10</v>
      </c>
      <c r="Y7" s="6" t="s">
        <v>42</v>
      </c>
      <c r="Z7" s="18">
        <v>3.3</v>
      </c>
    </row>
    <row r="8" spans="2:26">
      <c r="B8" s="6" t="s">
        <v>112</v>
      </c>
      <c r="C8" s="21">
        <v>13</v>
      </c>
      <c r="E8" s="6" t="s">
        <v>73</v>
      </c>
      <c r="F8" s="9">
        <v>633594</v>
      </c>
      <c r="G8" s="9">
        <v>104</v>
      </c>
      <c r="H8" s="9"/>
      <c r="I8" s="6" t="s">
        <v>39</v>
      </c>
      <c r="J8" s="21">
        <v>7</v>
      </c>
      <c r="K8" s="21">
        <v>6</v>
      </c>
      <c r="L8" s="21">
        <v>13</v>
      </c>
      <c r="N8" s="6" t="s">
        <v>55</v>
      </c>
      <c r="O8" s="21">
        <v>19</v>
      </c>
      <c r="S8" s="6" t="s">
        <v>97</v>
      </c>
      <c r="T8" s="21">
        <v>7</v>
      </c>
      <c r="V8" s="6" t="s">
        <v>103</v>
      </c>
      <c r="W8" s="21">
        <v>7</v>
      </c>
      <c r="Y8" s="6" t="s">
        <v>82</v>
      </c>
      <c r="Z8" s="18">
        <v>2.25</v>
      </c>
    </row>
    <row r="9" spans="2:26">
      <c r="B9" s="6" t="s">
        <v>216</v>
      </c>
      <c r="C9" s="21">
        <v>50</v>
      </c>
      <c r="E9" s="6" t="s">
        <v>51</v>
      </c>
      <c r="F9" s="9">
        <v>959266</v>
      </c>
      <c r="G9" s="9">
        <v>123</v>
      </c>
      <c r="H9" s="9"/>
      <c r="I9" s="6" t="s">
        <v>60</v>
      </c>
      <c r="J9" s="21">
        <v>5</v>
      </c>
      <c r="K9" s="21">
        <v>7</v>
      </c>
      <c r="L9" s="21">
        <v>12</v>
      </c>
      <c r="N9" s="6" t="s">
        <v>229</v>
      </c>
      <c r="O9" s="21"/>
      <c r="S9" s="6" t="s">
        <v>57</v>
      </c>
      <c r="T9" s="21">
        <v>11</v>
      </c>
      <c r="V9" s="6" t="s">
        <v>81</v>
      </c>
      <c r="W9" s="21">
        <v>10</v>
      </c>
      <c r="Y9" s="6" t="s">
        <v>52</v>
      </c>
      <c r="Z9" s="18">
        <v>2.3636363636363638</v>
      </c>
    </row>
    <row r="10" spans="2:26">
      <c r="E10" s="6" t="s">
        <v>26</v>
      </c>
      <c r="F10" s="9">
        <v>731170</v>
      </c>
      <c r="G10" s="9">
        <v>122</v>
      </c>
      <c r="H10" s="9"/>
      <c r="I10" s="6" t="s">
        <v>99</v>
      </c>
      <c r="J10" s="21">
        <v>4</v>
      </c>
      <c r="K10" s="21">
        <v>3</v>
      </c>
      <c r="L10" s="21">
        <v>7</v>
      </c>
      <c r="N10" s="6" t="s">
        <v>216</v>
      </c>
      <c r="O10" s="21">
        <v>50</v>
      </c>
      <c r="S10" s="6" t="s">
        <v>67</v>
      </c>
      <c r="T10" s="21">
        <v>9</v>
      </c>
      <c r="V10" s="6" t="s">
        <v>50</v>
      </c>
      <c r="W10" s="21">
        <v>9</v>
      </c>
      <c r="Y10" s="6" t="s">
        <v>61</v>
      </c>
      <c r="Z10" s="18">
        <v>2.5555555555555554</v>
      </c>
    </row>
    <row r="11" spans="2:26">
      <c r="E11" s="6" t="s">
        <v>216</v>
      </c>
      <c r="F11" s="21">
        <v>3104913</v>
      </c>
      <c r="G11" s="21">
        <v>487</v>
      </c>
      <c r="I11" s="6" t="s">
        <v>69</v>
      </c>
      <c r="J11" s="21">
        <v>4</v>
      </c>
      <c r="K11" s="21">
        <v>5</v>
      </c>
      <c r="L11" s="21">
        <v>9</v>
      </c>
      <c r="S11" s="6" t="s">
        <v>229</v>
      </c>
      <c r="T11" s="21"/>
      <c r="V11" s="6" t="s">
        <v>229</v>
      </c>
      <c r="W11" s="21"/>
      <c r="Y11" s="6" t="s">
        <v>229</v>
      </c>
      <c r="Z11" s="18"/>
    </row>
    <row r="12" spans="2:26">
      <c r="B12" s="6" t="s">
        <v>64</v>
      </c>
      <c r="C12">
        <f>IFERROR(GETPIVOTDATA("Full Name",$B$5,"Employment Status","Contract"),"0")</f>
        <v>17</v>
      </c>
      <c r="I12" s="6" t="s">
        <v>216</v>
      </c>
      <c r="J12" s="21">
        <v>26</v>
      </c>
      <c r="K12" s="21">
        <v>24</v>
      </c>
      <c r="L12" s="21">
        <v>50</v>
      </c>
      <c r="N12" s="6" t="s">
        <v>45</v>
      </c>
      <c r="O12">
        <f>IFERROR(GETPIVOTDATA("Full Name",$N$5,"Work Location","Branch Office"),"0")</f>
        <v>23</v>
      </c>
      <c r="P12" s="14">
        <f t="shared" ref="P12:P14" si="0">SUM(O12)/SUM($O$12:$O$14)</f>
        <v>0.46</v>
      </c>
      <c r="Q12" s="15">
        <f>1-P12</f>
        <v>0.54</v>
      </c>
      <c r="S12" s="6" t="s">
        <v>216</v>
      </c>
      <c r="T12" s="21">
        <v>50</v>
      </c>
      <c r="V12" s="6" t="s">
        <v>216</v>
      </c>
      <c r="W12" s="21">
        <v>50</v>
      </c>
      <c r="Y12" s="6" t="s">
        <v>216</v>
      </c>
      <c r="Z12" s="21">
        <v>2.62</v>
      </c>
    </row>
    <row r="13" spans="2:26">
      <c r="B13" s="6" t="s">
        <v>30</v>
      </c>
      <c r="C13">
        <f>IFERROR(GETPIVOTDATA("Full Name",$B$5,"Employment Status","Full-Time"),"0")</f>
        <v>20</v>
      </c>
      <c r="N13" s="6" t="s">
        <v>31</v>
      </c>
      <c r="O13">
        <f>IFERROR(GETPIVOTDATA("Full Name",$N$5,"Work Location","Head Office"),"0")</f>
        <v>8</v>
      </c>
      <c r="P13" s="14">
        <f t="shared" si="0"/>
        <v>0.16</v>
      </c>
      <c r="Q13" s="15">
        <f t="shared" ref="Q13:Q14" si="1">1-P13</f>
        <v>0.84</v>
      </c>
    </row>
    <row r="14" spans="2:26">
      <c r="B14" s="6" t="s">
        <v>112</v>
      </c>
      <c r="C14">
        <f>IFERROR(GETPIVOTDATA("Full Name",$B$5,"Employment Status","Part-Time"),"0")</f>
        <v>13</v>
      </c>
      <c r="E14" s="6" t="s">
        <v>122</v>
      </c>
      <c r="F14" s="10">
        <f>IFERROR(GETPIVOTDATA("Salary",$E$5,"Job Title","Analyst"),"0")</f>
        <v>167041</v>
      </c>
      <c r="G14" s="10">
        <f>IFERROR(GETPIVOTDATA("Sum of Leave Taken",$E$5,"Job Title","Analyst"),"0")</f>
        <v>28</v>
      </c>
      <c r="H14" s="10"/>
      <c r="N14" s="6" t="s">
        <v>55</v>
      </c>
      <c r="O14">
        <f>IFERROR(GETPIVOTDATA("Full Name",$N$5,"Work Location","Remote"),"0")</f>
        <v>19</v>
      </c>
      <c r="P14" s="14">
        <f t="shared" si="0"/>
        <v>0.38</v>
      </c>
      <c r="Q14" s="15">
        <f t="shared" si="1"/>
        <v>0.62</v>
      </c>
      <c r="S14" s="6" t="s">
        <v>76</v>
      </c>
      <c r="T14">
        <f>IFERROR(GETPIVOTDATA("Full Name",$S$5,"Skills","Communication"),"0")</f>
        <v>12</v>
      </c>
      <c r="V14" s="6" t="s">
        <v>40</v>
      </c>
      <c r="W14">
        <f>IFERROR(GETPIVOTDATA("Full Name",$V$5,"Region","Central"),"0")</f>
        <v>14</v>
      </c>
      <c r="Y14" s="6" t="s">
        <v>27</v>
      </c>
      <c r="Z14" s="18">
        <f>IFERROR(GETPIVOTDATA("Performance Rating",$Y$5,"Department","Finance"),"0")</f>
        <v>2.5833333333333335</v>
      </c>
    </row>
    <row r="15" spans="2:26">
      <c r="B15" s="6" t="s">
        <v>219</v>
      </c>
      <c r="C15">
        <f>SUM(C12:C14)</f>
        <v>50</v>
      </c>
      <c r="E15" s="6" t="s">
        <v>41</v>
      </c>
      <c r="F15" s="10">
        <f>IFERROR(GETPIVOTDATA("Salary",$E$5,"Job Title","Designer"),"0")</f>
        <v>613842</v>
      </c>
      <c r="G15" s="10">
        <f>IFERROR(GETPIVOTDATA("Sum of Leave Taken",$E$5,"Job Title","Designer"),"0")</f>
        <v>110</v>
      </c>
      <c r="H15" s="10"/>
      <c r="I15" s="6" t="s">
        <v>24</v>
      </c>
      <c r="J15">
        <f>IFERROR(GETPIVOTDATA("Full Name",$I$5,"Age range","18-25"),"0")</f>
        <v>9</v>
      </c>
      <c r="N15" s="6" t="s">
        <v>219</v>
      </c>
      <c r="O15">
        <f>SUM(O12:O14)</f>
        <v>50</v>
      </c>
      <c r="S15" s="6" t="s">
        <v>35</v>
      </c>
      <c r="T15">
        <f>IFERROR(GETPIVOTDATA("Full Name",$S$5,"Skills","Design"),"0")</f>
        <v>11</v>
      </c>
      <c r="V15" s="6" t="s">
        <v>25</v>
      </c>
      <c r="W15">
        <f>IFERROR(GETPIVOTDATA("Full Name",$V$5,"Region","East"),"0")</f>
        <v>10</v>
      </c>
      <c r="Y15" s="6" t="s">
        <v>42</v>
      </c>
      <c r="Z15" s="18">
        <f>IFERROR(GETPIVOTDATA("Performance Rating",$Y$5,"Department","HR"),"0")</f>
        <v>3.3</v>
      </c>
    </row>
    <row r="16" spans="2:26">
      <c r="E16" s="6" t="s">
        <v>73</v>
      </c>
      <c r="F16" s="10">
        <f>IFERROR(GETPIVOTDATA("Salary",$E$5,"Job Title","Developer"),"0")</f>
        <v>633594</v>
      </c>
      <c r="G16" s="10">
        <f>IFERROR(GETPIVOTDATA("Sum of Leave Taken",$E$5,"Job Title","Developer"),"0")</f>
        <v>104</v>
      </c>
      <c r="H16" s="10"/>
      <c r="I16" s="6" t="s">
        <v>39</v>
      </c>
      <c r="J16">
        <f>IFERROR(GETPIVOTDATA("Full Name",$I$5,"Age range","26-35"),"0")</f>
        <v>13</v>
      </c>
      <c r="S16" s="6" t="s">
        <v>97</v>
      </c>
      <c r="T16">
        <f>IFERROR(GETPIVOTDATA("Full Name",$S$5,"Skills","Excel"),"0")</f>
        <v>7</v>
      </c>
      <c r="V16" s="6" t="s">
        <v>103</v>
      </c>
      <c r="W16">
        <f>IFERROR(GETPIVOTDATA("Full Name",$V$5,"Region","North"),"0")</f>
        <v>7</v>
      </c>
      <c r="Y16" s="6" t="s">
        <v>82</v>
      </c>
      <c r="Z16" s="18">
        <f>IFERROR(GETPIVOTDATA("Performance Rating",$Y$5,"Department","IT"),"0")</f>
        <v>2.25</v>
      </c>
    </row>
    <row r="17" spans="5:26">
      <c r="E17" s="6" t="s">
        <v>51</v>
      </c>
      <c r="F17" s="10">
        <f>IFERROR(GETPIVOTDATA("Salary",$E$5,"Job Title","HR Specialist"),"0")</f>
        <v>959266</v>
      </c>
      <c r="G17" s="10">
        <f>IFERROR(GETPIVOTDATA("Sum of Leave Taken",$E$5,"Job Title","HR Specialist"),"0")</f>
        <v>123</v>
      </c>
      <c r="H17" s="10"/>
      <c r="I17" s="6" t="s">
        <v>60</v>
      </c>
      <c r="J17">
        <f>IFERROR(GETPIVOTDATA("Full Name",$I$5,"Age range","36-45"),"0")</f>
        <v>12</v>
      </c>
      <c r="N17" s="14"/>
      <c r="O17" s="15"/>
      <c r="S17" s="6" t="s">
        <v>57</v>
      </c>
      <c r="T17">
        <f>IFERROR(GETPIVOTDATA("Full Name",$S$5,"Skills","Management"),"0")</f>
        <v>11</v>
      </c>
      <c r="V17" s="6" t="s">
        <v>81</v>
      </c>
      <c r="W17">
        <f>IFERROR(GETPIVOTDATA("Full Name",$V$5,"Region","South"),"0")</f>
        <v>10</v>
      </c>
      <c r="Y17" s="6" t="s">
        <v>52</v>
      </c>
      <c r="Z17" s="18">
        <f>IFERROR(GETPIVOTDATA("Performance Rating",$Y$5,"Department","Marketing"),"0")</f>
        <v>2.3636363636363638</v>
      </c>
    </row>
    <row r="18" spans="5:26">
      <c r="E18" s="6" t="s">
        <v>26</v>
      </c>
      <c r="F18" s="10">
        <f>IFERROR(GETPIVOTDATA("Salary",$E$5,"Job Title","Manager"),"0")</f>
        <v>731170</v>
      </c>
      <c r="G18" s="10">
        <f>IFERROR(GETPIVOTDATA("Sum of Leave Taken",$E$5,"Job Title","Manager"),"0")</f>
        <v>122</v>
      </c>
      <c r="H18" s="10"/>
      <c r="I18" s="6" t="s">
        <v>99</v>
      </c>
      <c r="J18">
        <f>IFERROR(GETPIVOTDATA("Full Name",$I$5,"Age range","46-55"),"0")</f>
        <v>7</v>
      </c>
      <c r="N18" s="14"/>
      <c r="O18" s="15"/>
      <c r="S18" s="6" t="s">
        <v>67</v>
      </c>
      <c r="T18">
        <f>IFERROR(GETPIVOTDATA("Full Name",$S$5,"Skills","Python"),"0")</f>
        <v>9</v>
      </c>
      <c r="V18" s="6" t="s">
        <v>50</v>
      </c>
      <c r="W18">
        <f>IFERROR(GETPIVOTDATA("Full Name",$V$5,"Region","West"),"0")</f>
        <v>9</v>
      </c>
      <c r="Y18" s="6" t="s">
        <v>61</v>
      </c>
      <c r="Z18" s="18">
        <f>IFERROR(GETPIVOTDATA("Performance Rating",$Y$5,"Department","Operations"),"0")</f>
        <v>2.5555555555555554</v>
      </c>
    </row>
    <row r="19" spans="5:26">
      <c r="E19" s="6" t="s">
        <v>219</v>
      </c>
      <c r="F19" s="10">
        <f>SUM(F14:F18)</f>
        <v>3104913</v>
      </c>
      <c r="G19" s="10">
        <f>SUM(G14:G18)</f>
        <v>487</v>
      </c>
      <c r="H19" s="10"/>
      <c r="I19" s="6" t="s">
        <v>69</v>
      </c>
      <c r="J19">
        <f>IFERROR(GETPIVOTDATA("Full Name",$I$5,"Age range","56 &lt;"),"0")</f>
        <v>9</v>
      </c>
      <c r="N19" s="14"/>
      <c r="O19" s="15"/>
      <c r="S19" s="6" t="s">
        <v>219</v>
      </c>
      <c r="T19">
        <f>SUM(T14:T18)</f>
        <v>50</v>
      </c>
      <c r="V19" s="6" t="s">
        <v>219</v>
      </c>
      <c r="W19">
        <f>SUM(W14:W18)</f>
        <v>50</v>
      </c>
      <c r="Y19" s="6" t="s">
        <v>219</v>
      </c>
      <c r="Z19" s="19">
        <f>AVERAGE(Z14:Z18)</f>
        <v>2.6105050505050502</v>
      </c>
    </row>
    <row r="20" spans="5:26">
      <c r="I20" s="6" t="s">
        <v>219</v>
      </c>
      <c r="J20">
        <f>SUM(J15:J19)</f>
        <v>50</v>
      </c>
    </row>
    <row r="22" spans="5:26">
      <c r="I22" s="6" t="s">
        <v>38</v>
      </c>
      <c r="J22">
        <f>IFERROR(GETPIVOTDATA("Full Name",$I$5,"Gender","Male"),"0")</f>
        <v>24</v>
      </c>
      <c r="K22" s="13">
        <f t="shared" ref="K22:K23" si="2">SUM(J22)/SUM($J$22:$J$23)</f>
        <v>0.48</v>
      </c>
      <c r="L22" s="15">
        <f>1-K22</f>
        <v>0.52</v>
      </c>
    </row>
    <row r="23" spans="5:26">
      <c r="I23" s="6" t="s">
        <v>23</v>
      </c>
      <c r="J23">
        <f>IFERROR(GETPIVOTDATA("Full Name",$I$5,"Gender","Female"),"0")</f>
        <v>26</v>
      </c>
      <c r="K23" s="13">
        <f t="shared" si="2"/>
        <v>0.52</v>
      </c>
      <c r="L23" s="15">
        <f>1-K23</f>
        <v>0.48</v>
      </c>
    </row>
    <row r="24" spans="5:26">
      <c r="I24" s="6" t="s">
        <v>219</v>
      </c>
      <c r="J24">
        <f>SUM(J22:J23)</f>
        <v>50</v>
      </c>
    </row>
    <row r="40" spans="25:25" ht="17">
      <c r="Y40"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bhumikabhoyar090@gmail.com</dc:creator>
  <cp:lastModifiedBy>bhumikabhoyar090@gmail.com</cp:lastModifiedBy>
  <dcterms:created xsi:type="dcterms:W3CDTF">2025-08-18T05:23:42Z</dcterms:created>
  <dcterms:modified xsi:type="dcterms:W3CDTF">2025-08-21T08:36:37Z</dcterms:modified>
</cp:coreProperties>
</file>